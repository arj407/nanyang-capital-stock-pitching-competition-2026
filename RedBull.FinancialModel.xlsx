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rjunMittal/Desktop/"/>
    </mc:Choice>
  </mc:AlternateContent>
  <xr:revisionPtr revIDLastSave="0" documentId="8_{1EA9B40B-BDF7-4344-B064-359225683D7F}" xr6:coauthVersionLast="47" xr6:coauthVersionMax="47" xr10:uidLastSave="{00000000-0000-0000-0000-000000000000}"/>
  <bookViews>
    <workbookView xWindow="0" yWindow="660" windowWidth="30240" windowHeight="17860" activeTab="9" xr2:uid="{00000000-000D-0000-FFFF-FFFF00000000}"/>
  </bookViews>
  <sheets>
    <sheet name="Summary" sheetId="1" r:id="rId1"/>
    <sheet name="Assumptions" sheetId="2" r:id="rId2"/>
    <sheet name="Operating" sheetId="3" r:id="rId3"/>
    <sheet name="Statements" sheetId="4" r:id="rId4"/>
    <sheet name="DCF" sheetId="5" r:id="rId5"/>
    <sheet name="Comps" sheetId="6" r:id="rId6"/>
    <sheet name="Short return" sheetId="7" r:id="rId7"/>
    <sheet name="Historical" sheetId="8" r:id="rId8"/>
    <sheet name="Sources" sheetId="9" r:id="rId9"/>
    <sheet name="Check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0" l="1"/>
  <c r="E17" i="10"/>
  <c r="E16" i="10"/>
  <c r="E15" i="10"/>
  <c r="E14" i="10"/>
  <c r="E13" i="10"/>
  <c r="E12" i="10"/>
  <c r="E11" i="10"/>
  <c r="E10" i="10"/>
  <c r="E9" i="10"/>
  <c r="E4" i="10"/>
  <c r="E4" i="9"/>
  <c r="E4" i="8"/>
  <c r="E25" i="7"/>
  <c r="E11" i="7"/>
  <c r="E12" i="7" s="1"/>
  <c r="E10" i="7"/>
  <c r="E8" i="7"/>
  <c r="E4" i="7"/>
  <c r="E32" i="6"/>
  <c r="E20" i="6"/>
  <c r="E16" i="6"/>
  <c r="E15" i="6"/>
  <c r="E17" i="6" s="1"/>
  <c r="G11" i="6"/>
  <c r="F11" i="6"/>
  <c r="E11" i="6"/>
  <c r="H11" i="6" s="1"/>
  <c r="D11" i="6"/>
  <c r="C11" i="6"/>
  <c r="G10" i="6"/>
  <c r="F10" i="6"/>
  <c r="E10" i="6"/>
  <c r="H10" i="6" s="1"/>
  <c r="D10" i="6"/>
  <c r="C10" i="6"/>
  <c r="G9" i="6"/>
  <c r="F9" i="6"/>
  <c r="E9" i="6"/>
  <c r="H9" i="6" s="1"/>
  <c r="E26" i="6" s="1"/>
  <c r="D9" i="6"/>
  <c r="C9" i="6"/>
  <c r="G8" i="6"/>
  <c r="F8" i="6"/>
  <c r="E8" i="6"/>
  <c r="H8" i="6" s="1"/>
  <c r="D8" i="6"/>
  <c r="C8" i="6"/>
  <c r="E4" i="6"/>
  <c r="F19" i="5"/>
  <c r="E14" i="5"/>
  <c r="E12" i="5"/>
  <c r="E6" i="5"/>
  <c r="E37" i="5" s="1"/>
  <c r="E4" i="5"/>
  <c r="E70" i="4"/>
  <c r="E69" i="4"/>
  <c r="E68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8" i="4"/>
  <c r="F47" i="4"/>
  <c r="E47" i="4"/>
  <c r="E46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E44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2" i="4"/>
  <c r="E43" i="4" s="1"/>
  <c r="E41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E39" i="4"/>
  <c r="E38" i="4"/>
  <c r="E40" i="4" s="1"/>
  <c r="E37" i="4"/>
  <c r="E31" i="4"/>
  <c r="E61" i="4" s="1"/>
  <c r="E66" i="4" s="1"/>
  <c r="E30" i="4"/>
  <c r="E32" i="4" s="1"/>
  <c r="E75" i="4" s="1"/>
  <c r="E29" i="4"/>
  <c r="F28" i="4"/>
  <c r="E28" i="4"/>
  <c r="E27" i="4"/>
  <c r="E26" i="4"/>
  <c r="E25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E21" i="4"/>
  <c r="E20" i="4"/>
  <c r="E19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E17" i="4"/>
  <c r="E16" i="4"/>
  <c r="E15" i="4"/>
  <c r="E14" i="4"/>
  <c r="F13" i="4"/>
  <c r="E12" i="4"/>
  <c r="E13" i="4" s="1"/>
  <c r="E11" i="4"/>
  <c r="E10" i="4"/>
  <c r="E9" i="4"/>
  <c r="T8" i="4"/>
  <c r="T18" i="5" s="1"/>
  <c r="S8" i="4"/>
  <c r="S18" i="5" s="1"/>
  <c r="R8" i="4"/>
  <c r="R18" i="5" s="1"/>
  <c r="Q8" i="4"/>
  <c r="Q18" i="5" s="1"/>
  <c r="P8" i="4"/>
  <c r="P18" i="5" s="1"/>
  <c r="O8" i="4"/>
  <c r="O18" i="5" s="1"/>
  <c r="N8" i="4"/>
  <c r="N18" i="5" s="1"/>
  <c r="M8" i="4"/>
  <c r="M18" i="5" s="1"/>
  <c r="L8" i="4"/>
  <c r="L18" i="5" s="1"/>
  <c r="K8" i="4"/>
  <c r="K18" i="5" s="1"/>
  <c r="J8" i="4"/>
  <c r="J18" i="5" s="1"/>
  <c r="I8" i="4"/>
  <c r="I18" i="5" s="1"/>
  <c r="H8" i="4"/>
  <c r="H18" i="5" s="1"/>
  <c r="G8" i="4"/>
  <c r="G18" i="5" s="1"/>
  <c r="F8" i="4"/>
  <c r="F18" i="5" s="1"/>
  <c r="F20" i="5" s="1"/>
  <c r="G19" i="5" s="1"/>
  <c r="E8" i="4"/>
  <c r="E4" i="4"/>
  <c r="F50" i="3"/>
  <c r="F49" i="3"/>
  <c r="F48" i="3"/>
  <c r="E4" i="3"/>
  <c r="N95" i="2"/>
  <c r="M95" i="2"/>
  <c r="L95" i="2"/>
  <c r="K95" i="2"/>
  <c r="J95" i="2"/>
  <c r="I95" i="2"/>
  <c r="H95" i="2"/>
  <c r="G95" i="2"/>
  <c r="F95" i="2"/>
  <c r="E95" i="2"/>
  <c r="N90" i="2"/>
  <c r="M90" i="2"/>
  <c r="L90" i="2"/>
  <c r="K90" i="2"/>
  <c r="J90" i="2"/>
  <c r="I90" i="2"/>
  <c r="H90" i="2"/>
  <c r="G90" i="2"/>
  <c r="F90" i="2"/>
  <c r="E90" i="2"/>
  <c r="E5" i="5" s="1"/>
  <c r="N85" i="2"/>
  <c r="M85" i="2"/>
  <c r="L85" i="2"/>
  <c r="K85" i="2"/>
  <c r="J85" i="2"/>
  <c r="I85" i="2"/>
  <c r="H85" i="2"/>
  <c r="G85" i="2"/>
  <c r="F85" i="2"/>
  <c r="E85" i="2"/>
  <c r="F26" i="4" s="1"/>
  <c r="N80" i="2"/>
  <c r="M80" i="2"/>
  <c r="L80" i="2"/>
  <c r="K80" i="2"/>
  <c r="J80" i="2"/>
  <c r="I80" i="2"/>
  <c r="H80" i="2"/>
  <c r="G80" i="2"/>
  <c r="F80" i="2"/>
  <c r="E80" i="2"/>
  <c r="N75" i="2"/>
  <c r="M75" i="2"/>
  <c r="L75" i="2"/>
  <c r="K75" i="2"/>
  <c r="J75" i="2"/>
  <c r="I75" i="2"/>
  <c r="H75" i="2"/>
  <c r="G75" i="2"/>
  <c r="F75" i="2"/>
  <c r="E75" i="2"/>
  <c r="N70" i="2"/>
  <c r="M70" i="2"/>
  <c r="L70" i="2"/>
  <c r="K70" i="2"/>
  <c r="J70" i="2"/>
  <c r="I70" i="2"/>
  <c r="H70" i="2"/>
  <c r="G70" i="2"/>
  <c r="F70" i="2"/>
  <c r="E70" i="2"/>
  <c r="N65" i="2"/>
  <c r="N24" i="3" s="1"/>
  <c r="M65" i="2"/>
  <c r="M24" i="3" s="1"/>
  <c r="L65" i="2"/>
  <c r="L24" i="3" s="1"/>
  <c r="K65" i="2"/>
  <c r="K24" i="3" s="1"/>
  <c r="J65" i="2"/>
  <c r="J24" i="3" s="1"/>
  <c r="I65" i="2"/>
  <c r="I24" i="3" s="1"/>
  <c r="H65" i="2"/>
  <c r="H24" i="3" s="1"/>
  <c r="G65" i="2"/>
  <c r="G24" i="3" s="1"/>
  <c r="F65" i="2"/>
  <c r="F24" i="3" s="1"/>
  <c r="E65" i="2"/>
  <c r="E24" i="3" s="1"/>
  <c r="N60" i="2"/>
  <c r="N23" i="3" s="1"/>
  <c r="M60" i="2"/>
  <c r="M23" i="3" s="1"/>
  <c r="L60" i="2"/>
  <c r="L23" i="3" s="1"/>
  <c r="K60" i="2"/>
  <c r="K23" i="3" s="1"/>
  <c r="J60" i="2"/>
  <c r="J23" i="3" s="1"/>
  <c r="I60" i="2"/>
  <c r="I23" i="3" s="1"/>
  <c r="H60" i="2"/>
  <c r="H23" i="3" s="1"/>
  <c r="G60" i="2"/>
  <c r="G23" i="3" s="1"/>
  <c r="F60" i="2"/>
  <c r="F23" i="3" s="1"/>
  <c r="E60" i="2"/>
  <c r="E23" i="3" s="1"/>
  <c r="N55" i="2"/>
  <c r="N17" i="3" s="1"/>
  <c r="M55" i="2"/>
  <c r="M17" i="3" s="1"/>
  <c r="L55" i="2"/>
  <c r="L17" i="3" s="1"/>
  <c r="K55" i="2"/>
  <c r="K17" i="3" s="1"/>
  <c r="J55" i="2"/>
  <c r="J17" i="3" s="1"/>
  <c r="I55" i="2"/>
  <c r="I17" i="3" s="1"/>
  <c r="H55" i="2"/>
  <c r="H17" i="3" s="1"/>
  <c r="G55" i="2"/>
  <c r="G17" i="3" s="1"/>
  <c r="F55" i="2"/>
  <c r="F17" i="3" s="1"/>
  <c r="E55" i="2"/>
  <c r="E17" i="3" s="1"/>
  <c r="N50" i="2"/>
  <c r="N16" i="3" s="1"/>
  <c r="M50" i="2"/>
  <c r="M16" i="3" s="1"/>
  <c r="L50" i="2"/>
  <c r="L16" i="3" s="1"/>
  <c r="K50" i="2"/>
  <c r="K16" i="3" s="1"/>
  <c r="J50" i="2"/>
  <c r="J16" i="3" s="1"/>
  <c r="I50" i="2"/>
  <c r="I16" i="3" s="1"/>
  <c r="H50" i="2"/>
  <c r="H16" i="3" s="1"/>
  <c r="G50" i="2"/>
  <c r="G16" i="3" s="1"/>
  <c r="F50" i="2"/>
  <c r="F16" i="3" s="1"/>
  <c r="E50" i="2"/>
  <c r="E16" i="3" s="1"/>
  <c r="N45" i="2"/>
  <c r="N12" i="3" s="1"/>
  <c r="M45" i="2"/>
  <c r="M12" i="3" s="1"/>
  <c r="L45" i="2"/>
  <c r="L12" i="3" s="1"/>
  <c r="K45" i="2"/>
  <c r="K12" i="3" s="1"/>
  <c r="J45" i="2"/>
  <c r="J12" i="3" s="1"/>
  <c r="I45" i="2"/>
  <c r="I12" i="3" s="1"/>
  <c r="H45" i="2"/>
  <c r="H12" i="3" s="1"/>
  <c r="G45" i="2"/>
  <c r="G12" i="3" s="1"/>
  <c r="F45" i="2"/>
  <c r="F12" i="3" s="1"/>
  <c r="E45" i="2"/>
  <c r="E12" i="3" s="1"/>
  <c r="N40" i="2"/>
  <c r="M40" i="2"/>
  <c r="L40" i="2"/>
  <c r="K40" i="2"/>
  <c r="J40" i="2"/>
  <c r="I40" i="2"/>
  <c r="H40" i="2"/>
  <c r="G40" i="2"/>
  <c r="F40" i="2"/>
  <c r="E40" i="2"/>
  <c r="E34" i="2"/>
  <c r="E25" i="2"/>
  <c r="F12" i="4" s="1"/>
  <c r="F16" i="4" s="1"/>
  <c r="E23" i="2"/>
  <c r="F9" i="4" s="1"/>
  <c r="E11" i="2"/>
  <c r="E10" i="2"/>
  <c r="E29" i="7" s="1"/>
  <c r="E9" i="2"/>
  <c r="E8" i="5" s="1"/>
  <c r="E8" i="2"/>
  <c r="E4" i="2"/>
  <c r="I40" i="1"/>
  <c r="K40" i="1" s="1"/>
  <c r="E20" i="1"/>
  <c r="E19" i="1"/>
  <c r="E18" i="1"/>
  <c r="C9" i="1"/>
  <c r="E8" i="1"/>
  <c r="E4" i="1"/>
  <c r="E28" i="7" l="1"/>
  <c r="E26" i="7"/>
  <c r="E27" i="7"/>
  <c r="I38" i="7"/>
  <c r="E36" i="7"/>
  <c r="F38" i="7"/>
  <c r="G38" i="7"/>
  <c r="E18" i="7"/>
  <c r="E14" i="7"/>
  <c r="E17" i="7" s="1"/>
  <c r="H38" i="7"/>
  <c r="L69" i="4"/>
  <c r="M69" i="4"/>
  <c r="N69" i="4"/>
  <c r="O69" i="4"/>
  <c r="P69" i="4"/>
  <c r="Q69" i="4"/>
  <c r="R69" i="4"/>
  <c r="S69" i="4"/>
  <c r="T69" i="4"/>
  <c r="J69" i="4"/>
  <c r="I69" i="4"/>
  <c r="F69" i="4"/>
  <c r="G69" i="4"/>
  <c r="H69" i="4"/>
  <c r="K69" i="4"/>
  <c r="E71" i="4"/>
  <c r="E72" i="4" s="1"/>
  <c r="F68" i="4"/>
  <c r="I65" i="4"/>
  <c r="H65" i="4"/>
  <c r="T65" i="4"/>
  <c r="F65" i="4"/>
  <c r="S65" i="4"/>
  <c r="R65" i="4"/>
  <c r="Q65" i="4"/>
  <c r="P65" i="4"/>
  <c r="O65" i="4"/>
  <c r="N65" i="4"/>
  <c r="M65" i="4"/>
  <c r="L65" i="4"/>
  <c r="K65" i="4"/>
  <c r="J65" i="4"/>
  <c r="G65" i="4"/>
  <c r="F64" i="4"/>
  <c r="S64" i="4"/>
  <c r="I64" i="4"/>
  <c r="T64" i="4"/>
  <c r="N64" i="4"/>
  <c r="L64" i="4"/>
  <c r="J64" i="4"/>
  <c r="H64" i="4"/>
  <c r="G64" i="4"/>
  <c r="K64" i="4"/>
  <c r="M64" i="4"/>
  <c r="O64" i="4"/>
  <c r="P64" i="4"/>
  <c r="Q64" i="4"/>
  <c r="R64" i="4"/>
  <c r="L63" i="4"/>
  <c r="K63" i="4"/>
  <c r="I63" i="4"/>
  <c r="H63" i="4"/>
  <c r="G63" i="4"/>
  <c r="F63" i="4"/>
  <c r="N63" i="4"/>
  <c r="O63" i="4"/>
  <c r="P63" i="4"/>
  <c r="Q63" i="4"/>
  <c r="R63" i="4"/>
  <c r="S63" i="4"/>
  <c r="T63" i="4"/>
  <c r="J63" i="4"/>
  <c r="M63" i="4"/>
  <c r="I62" i="4"/>
  <c r="H62" i="4"/>
  <c r="F62" i="4"/>
  <c r="T62" i="4"/>
  <c r="R62" i="4"/>
  <c r="O62" i="4"/>
  <c r="G62" i="4"/>
  <c r="S62" i="4"/>
  <c r="Q62" i="4"/>
  <c r="P62" i="4"/>
  <c r="N62" i="4"/>
  <c r="M62" i="4"/>
  <c r="L62" i="4"/>
  <c r="K62" i="4"/>
  <c r="J62" i="4"/>
  <c r="O58" i="4"/>
  <c r="N58" i="4"/>
  <c r="H58" i="4"/>
  <c r="I58" i="4"/>
  <c r="J58" i="4"/>
  <c r="K58" i="4"/>
  <c r="L58" i="4"/>
  <c r="M58" i="4"/>
  <c r="P58" i="4"/>
  <c r="Q58" i="4"/>
  <c r="R58" i="4"/>
  <c r="S58" i="4"/>
  <c r="T58" i="4"/>
  <c r="F58" i="4"/>
  <c r="G58" i="4"/>
  <c r="J57" i="4"/>
  <c r="O57" i="4"/>
  <c r="G57" i="4"/>
  <c r="H57" i="4"/>
  <c r="I57" i="4"/>
  <c r="K57" i="4"/>
  <c r="L57" i="4"/>
  <c r="M57" i="4"/>
  <c r="N57" i="4"/>
  <c r="T57" i="4"/>
  <c r="S57" i="4"/>
  <c r="R57" i="4"/>
  <c r="Q57" i="4"/>
  <c r="P57" i="4"/>
  <c r="F57" i="4"/>
  <c r="Q55" i="4"/>
  <c r="R55" i="4"/>
  <c r="T55" i="4"/>
  <c r="P55" i="4"/>
  <c r="O55" i="4"/>
  <c r="N55" i="4"/>
  <c r="M55" i="4"/>
  <c r="L55" i="4"/>
  <c r="E13" i="5"/>
  <c r="K55" i="4"/>
  <c r="J55" i="4"/>
  <c r="I55" i="4"/>
  <c r="H55" i="4"/>
  <c r="G55" i="4"/>
  <c r="F55" i="4"/>
  <c r="S55" i="4"/>
  <c r="Q54" i="4"/>
  <c r="P54" i="4"/>
  <c r="O54" i="4"/>
  <c r="S54" i="4"/>
  <c r="N54" i="4"/>
  <c r="M54" i="4"/>
  <c r="L54" i="4"/>
  <c r="K54" i="4"/>
  <c r="J54" i="4"/>
  <c r="I54" i="4"/>
  <c r="H54" i="4"/>
  <c r="G54" i="4"/>
  <c r="F54" i="4"/>
  <c r="T54" i="4"/>
  <c r="R54" i="4"/>
  <c r="P51" i="4"/>
  <c r="O51" i="4"/>
  <c r="N51" i="4"/>
  <c r="Q51" i="4"/>
  <c r="L51" i="4"/>
  <c r="K51" i="4"/>
  <c r="J51" i="4"/>
  <c r="I51" i="4"/>
  <c r="H51" i="4"/>
  <c r="G51" i="4"/>
  <c r="F51" i="4"/>
  <c r="R51" i="4"/>
  <c r="T51" i="4"/>
  <c r="S51" i="4"/>
  <c r="M51" i="4"/>
  <c r="E10" i="5"/>
  <c r="E59" i="4"/>
  <c r="E23" i="4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E33" i="6"/>
  <c r="F42" i="4"/>
  <c r="F44" i="4" s="1"/>
  <c r="F22" i="5"/>
  <c r="N37" i="3"/>
  <c r="N38" i="3"/>
  <c r="T13" i="4"/>
  <c r="T26" i="4" s="1"/>
  <c r="M37" i="3"/>
  <c r="M38" i="3"/>
  <c r="S13" i="4"/>
  <c r="S26" i="4" s="1"/>
  <c r="L37" i="3"/>
  <c r="L38" i="3" s="1"/>
  <c r="R13" i="4"/>
  <c r="R26" i="4" s="1"/>
  <c r="K37" i="3"/>
  <c r="K38" i="3"/>
  <c r="Q13" i="4"/>
  <c r="Q26" i="4" s="1"/>
  <c r="J37" i="3"/>
  <c r="J38" i="3"/>
  <c r="P13" i="4"/>
  <c r="P26" i="4" s="1"/>
  <c r="I37" i="3"/>
  <c r="I38" i="3"/>
  <c r="O13" i="4"/>
  <c r="O26" i="4" s="1"/>
  <c r="H37" i="3"/>
  <c r="H38" i="3" s="1"/>
  <c r="N13" i="4"/>
  <c r="N26" i="4" s="1"/>
  <c r="G37" i="3"/>
  <c r="G38" i="3"/>
  <c r="M13" i="4"/>
  <c r="M26" i="4" s="1"/>
  <c r="F37" i="3"/>
  <c r="F38" i="3"/>
  <c r="I13" i="4"/>
  <c r="I26" i="4" s="1"/>
  <c r="J13" i="4"/>
  <c r="J26" i="4" s="1"/>
  <c r="K13" i="4"/>
  <c r="K26" i="4" s="1"/>
  <c r="L13" i="4"/>
  <c r="L26" i="4" s="1"/>
  <c r="E37" i="3"/>
  <c r="E38" i="3"/>
  <c r="G13" i="4"/>
  <c r="G26" i="4" s="1"/>
  <c r="H13" i="4"/>
  <c r="H26" i="4" s="1"/>
  <c r="N25" i="3"/>
  <c r="T12" i="4"/>
  <c r="T16" i="4" s="1"/>
  <c r="M25" i="3"/>
  <c r="S12" i="4"/>
  <c r="S16" i="4" s="1"/>
  <c r="L25" i="3"/>
  <c r="R12" i="4"/>
  <c r="R16" i="4" s="1"/>
  <c r="K25" i="3"/>
  <c r="Q12" i="4"/>
  <c r="Q16" i="4" s="1"/>
  <c r="J25" i="3"/>
  <c r="P12" i="4"/>
  <c r="P16" i="4" s="1"/>
  <c r="I25" i="3"/>
  <c r="O12" i="4"/>
  <c r="O16" i="4" s="1"/>
  <c r="H25" i="3"/>
  <c r="N12" i="4"/>
  <c r="N16" i="4" s="1"/>
  <c r="G25" i="3"/>
  <c r="M12" i="4"/>
  <c r="M16" i="4" s="1"/>
  <c r="F25" i="3"/>
  <c r="I12" i="4"/>
  <c r="I16" i="4" s="1"/>
  <c r="J12" i="4"/>
  <c r="J16" i="4" s="1"/>
  <c r="K12" i="4"/>
  <c r="K16" i="4" s="1"/>
  <c r="L12" i="4"/>
  <c r="L16" i="4" s="1"/>
  <c r="E25" i="3"/>
  <c r="G12" i="4"/>
  <c r="G16" i="4" s="1"/>
  <c r="E95" i="4" s="1"/>
  <c r="H12" i="4"/>
  <c r="H16" i="4" s="1"/>
  <c r="N19" i="3"/>
  <c r="N34" i="3"/>
  <c r="N35" i="3"/>
  <c r="M19" i="3"/>
  <c r="M34" i="3"/>
  <c r="M35" i="3"/>
  <c r="L19" i="3"/>
  <c r="L34" i="3"/>
  <c r="L35" i="3"/>
  <c r="K19" i="3"/>
  <c r="K34" i="3"/>
  <c r="K35" i="3"/>
  <c r="J19" i="3"/>
  <c r="J34" i="3"/>
  <c r="J35" i="3"/>
  <c r="I19" i="3"/>
  <c r="I34" i="3"/>
  <c r="I35" i="3"/>
  <c r="J44" i="1"/>
  <c r="H19" i="3"/>
  <c r="H34" i="3"/>
  <c r="H35" i="3"/>
  <c r="G19" i="3"/>
  <c r="G34" i="3"/>
  <c r="G35" i="3"/>
  <c r="J43" i="1"/>
  <c r="F19" i="3"/>
  <c r="F34" i="3"/>
  <c r="F35" i="3"/>
  <c r="J42" i="1"/>
  <c r="E19" i="3"/>
  <c r="E34" i="3"/>
  <c r="E35" i="3"/>
  <c r="J41" i="1"/>
  <c r="N11" i="3"/>
  <c r="N9" i="3"/>
  <c r="M9" i="3"/>
  <c r="M11" i="3"/>
  <c r="L9" i="3"/>
  <c r="L11" i="3"/>
  <c r="K9" i="3"/>
  <c r="K11" i="3"/>
  <c r="J11" i="3"/>
  <c r="J9" i="3"/>
  <c r="I9" i="3"/>
  <c r="I11" i="3"/>
  <c r="H9" i="3"/>
  <c r="H11" i="3"/>
  <c r="G11" i="3"/>
  <c r="G9" i="3"/>
  <c r="F11" i="3"/>
  <c r="F9" i="3"/>
  <c r="E11" i="3"/>
  <c r="E9" i="3"/>
  <c r="E11" i="5"/>
  <c r="F39" i="4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F14" i="4"/>
  <c r="F15" i="4"/>
  <c r="F11" i="4"/>
  <c r="F10" i="4" s="1"/>
  <c r="F25" i="4"/>
  <c r="F29" i="4" s="1"/>
  <c r="F27" i="4"/>
  <c r="F38" i="4" s="1"/>
  <c r="F41" i="4" s="1"/>
  <c r="F32" i="4"/>
  <c r="E9" i="5"/>
  <c r="F24" i="5"/>
  <c r="G24" i="5"/>
  <c r="G20" i="5"/>
  <c r="H19" i="5" s="1"/>
  <c r="E28" i="6"/>
  <c r="E27" i="6"/>
  <c r="F25" i="7" l="1"/>
  <c r="F26" i="7"/>
  <c r="F27" i="7"/>
  <c r="F28" i="7"/>
  <c r="T42" i="4"/>
  <c r="T44" i="4" s="1"/>
  <c r="N101" i="4" s="1"/>
  <c r="T22" i="5"/>
  <c r="S42" i="4"/>
  <c r="S44" i="4" s="1"/>
  <c r="M101" i="4" s="1"/>
  <c r="S22" i="5"/>
  <c r="R42" i="4"/>
  <c r="R44" i="4" s="1"/>
  <c r="L101" i="4" s="1"/>
  <c r="R22" i="5"/>
  <c r="Q42" i="4"/>
  <c r="Q44" i="4" s="1"/>
  <c r="K101" i="4" s="1"/>
  <c r="Q22" i="5"/>
  <c r="P42" i="4"/>
  <c r="P44" i="4" s="1"/>
  <c r="J101" i="4" s="1"/>
  <c r="P22" i="5"/>
  <c r="O42" i="4"/>
  <c r="O44" i="4" s="1"/>
  <c r="I101" i="4" s="1"/>
  <c r="O22" i="5"/>
  <c r="N42" i="4"/>
  <c r="N44" i="4" s="1"/>
  <c r="H101" i="4" s="1"/>
  <c r="N22" i="5"/>
  <c r="M42" i="4"/>
  <c r="M44" i="4" s="1"/>
  <c r="G101" i="4" s="1"/>
  <c r="M22" i="5"/>
  <c r="I42" i="4"/>
  <c r="I44" i="4" s="1"/>
  <c r="I22" i="5"/>
  <c r="J42" i="4"/>
  <c r="J44" i="4" s="1"/>
  <c r="J22" i="5"/>
  <c r="K42" i="4"/>
  <c r="K44" i="4" s="1"/>
  <c r="K22" i="5"/>
  <c r="L42" i="4"/>
  <c r="L44" i="4" s="1"/>
  <c r="L22" i="5"/>
  <c r="G42" i="4"/>
  <c r="H42" i="4"/>
  <c r="H44" i="4" s="1"/>
  <c r="H22" i="5"/>
  <c r="N95" i="4"/>
  <c r="T14" i="4"/>
  <c r="T15" i="4"/>
  <c r="M95" i="4"/>
  <c r="S14" i="4"/>
  <c r="S15" i="4"/>
  <c r="L95" i="4"/>
  <c r="R14" i="4"/>
  <c r="R15" i="4"/>
  <c r="K95" i="4"/>
  <c r="Q14" i="4"/>
  <c r="Q15" i="4"/>
  <c r="J95" i="4"/>
  <c r="P14" i="4"/>
  <c r="P15" i="4"/>
  <c r="I95" i="4"/>
  <c r="O14" i="4"/>
  <c r="O15" i="4"/>
  <c r="H95" i="4"/>
  <c r="N14" i="4"/>
  <c r="N15" i="4"/>
  <c r="G95" i="4"/>
  <c r="M14" i="4"/>
  <c r="M15" i="4"/>
  <c r="F95" i="4"/>
  <c r="I14" i="4"/>
  <c r="I15" i="4"/>
  <c r="J14" i="4"/>
  <c r="J15" i="4"/>
  <c r="K14" i="4"/>
  <c r="K15" i="4"/>
  <c r="L14" i="4"/>
  <c r="L15" i="4"/>
  <c r="G14" i="4"/>
  <c r="G15" i="4"/>
  <c r="H14" i="4"/>
  <c r="H15" i="4"/>
  <c r="N13" i="3"/>
  <c r="N18" i="3"/>
  <c r="N20" i="3" s="1"/>
  <c r="N10" i="3"/>
  <c r="M13" i="3"/>
  <c r="M18" i="3"/>
  <c r="M20" i="3" s="1"/>
  <c r="M10" i="3"/>
  <c r="L13" i="3"/>
  <c r="L18" i="3"/>
  <c r="L20" i="3" s="1"/>
  <c r="L10" i="3"/>
  <c r="K13" i="3"/>
  <c r="K18" i="3"/>
  <c r="K20" i="3" s="1"/>
  <c r="K10" i="3"/>
  <c r="J13" i="3"/>
  <c r="J18" i="3"/>
  <c r="J20" i="3" s="1"/>
  <c r="J10" i="3"/>
  <c r="I13" i="3"/>
  <c r="I18" i="3"/>
  <c r="I20" i="3" s="1"/>
  <c r="I44" i="1"/>
  <c r="K44" i="1" s="1"/>
  <c r="I10" i="3"/>
  <c r="H13" i="3"/>
  <c r="H18" i="3"/>
  <c r="H20" i="3" s="1"/>
  <c r="H10" i="3"/>
  <c r="G13" i="3"/>
  <c r="G18" i="3"/>
  <c r="G20" i="3" s="1"/>
  <c r="I43" i="1"/>
  <c r="K43" i="1" s="1"/>
  <c r="G10" i="3"/>
  <c r="F13" i="3"/>
  <c r="F18" i="3"/>
  <c r="F20" i="3" s="1"/>
  <c r="I42" i="1"/>
  <c r="K42" i="1" s="1"/>
  <c r="F10" i="3"/>
  <c r="E13" i="3"/>
  <c r="E18" i="3"/>
  <c r="E20" i="3" s="1"/>
  <c r="I41" i="1"/>
  <c r="K41" i="1" s="1"/>
  <c r="E10" i="3"/>
  <c r="F17" i="4"/>
  <c r="F53" i="4"/>
  <c r="F31" i="10"/>
  <c r="G28" i="4"/>
  <c r="F75" i="4"/>
  <c r="F35" i="4"/>
  <c r="F30" i="4"/>
  <c r="F31" i="4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E76" i="4"/>
  <c r="F36" i="7"/>
  <c r="G36" i="7"/>
  <c r="H36" i="7"/>
  <c r="I36" i="7"/>
  <c r="F27" i="5"/>
  <c r="R27" i="5"/>
  <c r="P27" i="5"/>
  <c r="J27" i="5"/>
  <c r="Q27" i="5"/>
  <c r="I27" i="5"/>
  <c r="M27" i="5"/>
  <c r="T27" i="5"/>
  <c r="K27" i="5"/>
  <c r="G27" i="5"/>
  <c r="H27" i="5"/>
  <c r="L27" i="5"/>
  <c r="N27" i="5"/>
  <c r="O27" i="5"/>
  <c r="S27" i="5"/>
  <c r="H20" i="5"/>
  <c r="I19" i="5" s="1"/>
  <c r="H24" i="5"/>
  <c r="N14" i="3" l="1"/>
  <c r="T9" i="4"/>
  <c r="N31" i="1"/>
  <c r="N21" i="3"/>
  <c r="N26" i="3"/>
  <c r="N28" i="3"/>
  <c r="N32" i="3" s="1"/>
  <c r="N33" i="1" s="1"/>
  <c r="T11" i="4"/>
  <c r="M14" i="3"/>
  <c r="S9" i="4"/>
  <c r="M31" i="1"/>
  <c r="M21" i="3"/>
  <c r="M26" i="3"/>
  <c r="M28" i="3"/>
  <c r="M32" i="3" s="1"/>
  <c r="M33" i="1" s="1"/>
  <c r="S11" i="4"/>
  <c r="L14" i="3"/>
  <c r="R9" i="4"/>
  <c r="L31" i="1"/>
  <c r="L21" i="3"/>
  <c r="L26" i="3"/>
  <c r="L28" i="3"/>
  <c r="L32" i="3" s="1"/>
  <c r="L33" i="1" s="1"/>
  <c r="R11" i="4"/>
  <c r="K14" i="3"/>
  <c r="Q9" i="4"/>
  <c r="K31" i="1"/>
  <c r="K21" i="3"/>
  <c r="K26" i="3"/>
  <c r="K28" i="3"/>
  <c r="K32" i="3" s="1"/>
  <c r="K33" i="1" s="1"/>
  <c r="Q11" i="4"/>
  <c r="J14" i="3"/>
  <c r="P9" i="4"/>
  <c r="J31" i="1"/>
  <c r="J21" i="3"/>
  <c r="J26" i="3"/>
  <c r="J28" i="3"/>
  <c r="J32" i="3" s="1"/>
  <c r="J33" i="1" s="1"/>
  <c r="P11" i="4"/>
  <c r="I14" i="3"/>
  <c r="O9" i="4"/>
  <c r="I31" i="1"/>
  <c r="E40" i="10"/>
  <c r="G40" i="10" s="1"/>
  <c r="I21" i="3"/>
  <c r="I26" i="3"/>
  <c r="I28" i="3"/>
  <c r="I32" i="3" s="1"/>
  <c r="I33" i="1" s="1"/>
  <c r="O11" i="4"/>
  <c r="H14" i="3"/>
  <c r="N9" i="4"/>
  <c r="H31" i="1"/>
  <c r="H21" i="3"/>
  <c r="H26" i="3"/>
  <c r="H28" i="3"/>
  <c r="H32" i="3" s="1"/>
  <c r="H33" i="1" s="1"/>
  <c r="N11" i="4"/>
  <c r="G14" i="3"/>
  <c r="M9" i="4"/>
  <c r="G31" i="1"/>
  <c r="G21" i="3"/>
  <c r="G26" i="3"/>
  <c r="G28" i="3"/>
  <c r="G32" i="3" s="1"/>
  <c r="G33" i="1" s="1"/>
  <c r="M11" i="4"/>
  <c r="F14" i="3"/>
  <c r="I9" i="4"/>
  <c r="J9" i="4"/>
  <c r="K9" i="4"/>
  <c r="L9" i="4"/>
  <c r="F31" i="1"/>
  <c r="E20" i="10"/>
  <c r="E39" i="10"/>
  <c r="G39" i="10" s="1"/>
  <c r="F21" i="3"/>
  <c r="F26" i="3"/>
  <c r="F28" i="3"/>
  <c r="F32" i="3" s="1"/>
  <c r="I11" i="4"/>
  <c r="J11" i="4"/>
  <c r="J17" i="4" s="1"/>
  <c r="K11" i="4"/>
  <c r="K17" i="4" s="1"/>
  <c r="L11" i="4"/>
  <c r="L17" i="4" s="1"/>
  <c r="E14" i="3"/>
  <c r="G9" i="4"/>
  <c r="H9" i="4"/>
  <c r="E31" i="1"/>
  <c r="E18" i="10"/>
  <c r="E38" i="10"/>
  <c r="G38" i="10" s="1"/>
  <c r="E21" i="3"/>
  <c r="E26" i="3"/>
  <c r="E28" i="3"/>
  <c r="E32" i="3" s="1"/>
  <c r="E33" i="1" s="1"/>
  <c r="G11" i="4"/>
  <c r="H11" i="4"/>
  <c r="H17" i="4" s="1"/>
  <c r="F19" i="4"/>
  <c r="F74" i="4"/>
  <c r="F33" i="4"/>
  <c r="F52" i="4"/>
  <c r="F34" i="4"/>
  <c r="F61" i="4"/>
  <c r="F66" i="4" s="1"/>
  <c r="I24" i="5"/>
  <c r="I20" i="5"/>
  <c r="J19" i="5" s="1"/>
  <c r="F101" i="4"/>
  <c r="G44" i="4"/>
  <c r="E101" i="4" s="1"/>
  <c r="G68" i="4"/>
  <c r="G22" i="5"/>
  <c r="T10" i="4" l="1"/>
  <c r="T25" i="4"/>
  <c r="T27" i="4"/>
  <c r="T38" i="4" s="1"/>
  <c r="T41" i="4" s="1"/>
  <c r="N100" i="4" s="1"/>
  <c r="T32" i="4"/>
  <c r="N93" i="4"/>
  <c r="N27" i="3"/>
  <c r="N30" i="3"/>
  <c r="N31" i="3" s="1"/>
  <c r="N32" i="1"/>
  <c r="T17" i="4"/>
  <c r="N94" i="4"/>
  <c r="S10" i="4"/>
  <c r="S25" i="4"/>
  <c r="S27" i="4"/>
  <c r="S38" i="4" s="1"/>
  <c r="S41" i="4" s="1"/>
  <c r="M100" i="4" s="1"/>
  <c r="S32" i="4"/>
  <c r="M93" i="4"/>
  <c r="M27" i="3"/>
  <c r="M30" i="3"/>
  <c r="M31" i="3" s="1"/>
  <c r="M32" i="1"/>
  <c r="S17" i="4"/>
  <c r="M94" i="4"/>
  <c r="R10" i="4"/>
  <c r="R25" i="4"/>
  <c r="R27" i="4"/>
  <c r="R38" i="4" s="1"/>
  <c r="R41" i="4" s="1"/>
  <c r="L100" i="4" s="1"/>
  <c r="R32" i="4"/>
  <c r="L93" i="4"/>
  <c r="L27" i="3"/>
  <c r="L30" i="3"/>
  <c r="L31" i="3" s="1"/>
  <c r="L32" i="1"/>
  <c r="R17" i="4"/>
  <c r="L94" i="4"/>
  <c r="Q10" i="4"/>
  <c r="Q25" i="4"/>
  <c r="Q27" i="4"/>
  <c r="Q38" i="4" s="1"/>
  <c r="Q41" i="4" s="1"/>
  <c r="K100" i="4" s="1"/>
  <c r="Q32" i="4"/>
  <c r="K93" i="4"/>
  <c r="K27" i="3"/>
  <c r="K30" i="3"/>
  <c r="K31" i="3" s="1"/>
  <c r="K32" i="1"/>
  <c r="Q17" i="4"/>
  <c r="K94" i="4"/>
  <c r="P10" i="4"/>
  <c r="P25" i="4"/>
  <c r="P27" i="4"/>
  <c r="P38" i="4" s="1"/>
  <c r="P41" i="4" s="1"/>
  <c r="J100" i="4" s="1"/>
  <c r="P32" i="4"/>
  <c r="J93" i="4"/>
  <c r="J27" i="3"/>
  <c r="J30" i="3"/>
  <c r="J31" i="3" s="1"/>
  <c r="J32" i="1"/>
  <c r="P17" i="4"/>
  <c r="J94" i="4"/>
  <c r="O10" i="4"/>
  <c r="O25" i="4"/>
  <c r="O27" i="4"/>
  <c r="O38" i="4" s="1"/>
  <c r="O41" i="4" s="1"/>
  <c r="I100" i="4" s="1"/>
  <c r="O32" i="4"/>
  <c r="I93" i="4"/>
  <c r="I27" i="3"/>
  <c r="I30" i="3"/>
  <c r="I31" i="3" s="1"/>
  <c r="E41" i="10"/>
  <c r="G41" i="10" s="1"/>
  <c r="I32" i="1"/>
  <c r="O17" i="4"/>
  <c r="I94" i="4"/>
  <c r="N10" i="4"/>
  <c r="N25" i="4"/>
  <c r="N27" i="4"/>
  <c r="N38" i="4" s="1"/>
  <c r="N41" i="4" s="1"/>
  <c r="H100" i="4" s="1"/>
  <c r="N32" i="4"/>
  <c r="H93" i="4"/>
  <c r="H27" i="3"/>
  <c r="H30" i="3"/>
  <c r="H31" i="3" s="1"/>
  <c r="H32" i="1"/>
  <c r="N17" i="4"/>
  <c r="H94" i="4"/>
  <c r="M10" i="4"/>
  <c r="M25" i="4"/>
  <c r="M27" i="4"/>
  <c r="M38" i="4" s="1"/>
  <c r="M41" i="4" s="1"/>
  <c r="G100" i="4" s="1"/>
  <c r="M32" i="4"/>
  <c r="G93" i="4"/>
  <c r="G27" i="3"/>
  <c r="G30" i="3"/>
  <c r="G31" i="3" s="1"/>
  <c r="G32" i="1"/>
  <c r="M17" i="4"/>
  <c r="G94" i="4"/>
  <c r="I10" i="4"/>
  <c r="I25" i="4"/>
  <c r="I27" i="4"/>
  <c r="I38" i="4" s="1"/>
  <c r="I41" i="4" s="1"/>
  <c r="F93" i="4"/>
  <c r="I32" i="4"/>
  <c r="J10" i="4"/>
  <c r="J25" i="4"/>
  <c r="J27" i="4"/>
  <c r="J38" i="4" s="1"/>
  <c r="J41" i="4" s="1"/>
  <c r="J32" i="4"/>
  <c r="K10" i="4"/>
  <c r="K25" i="4"/>
  <c r="K27" i="4"/>
  <c r="K38" i="4" s="1"/>
  <c r="K41" i="4" s="1"/>
  <c r="K32" i="4"/>
  <c r="L10" i="4"/>
  <c r="L25" i="4"/>
  <c r="L27" i="4"/>
  <c r="L38" i="4" s="1"/>
  <c r="L41" i="4" s="1"/>
  <c r="L32" i="4"/>
  <c r="F27" i="3"/>
  <c r="F30" i="3"/>
  <c r="F31" i="3" s="1"/>
  <c r="F32" i="1"/>
  <c r="F33" i="1"/>
  <c r="E19" i="6"/>
  <c r="E21" i="6" s="1"/>
  <c r="E23" i="6" s="1"/>
  <c r="I17" i="4"/>
  <c r="E21" i="10" s="1"/>
  <c r="F94" i="4"/>
  <c r="J19" i="4"/>
  <c r="K19" i="4"/>
  <c r="L19" i="4"/>
  <c r="E93" i="4"/>
  <c r="G10" i="4"/>
  <c r="G25" i="4"/>
  <c r="G27" i="4"/>
  <c r="G38" i="4" s="1"/>
  <c r="G41" i="4" s="1"/>
  <c r="G32" i="4"/>
  <c r="H10" i="4"/>
  <c r="H25" i="4"/>
  <c r="H27" i="4"/>
  <c r="H38" i="4" s="1"/>
  <c r="H41" i="4" s="1"/>
  <c r="H32" i="4"/>
  <c r="E27" i="3"/>
  <c r="E30" i="3"/>
  <c r="E31" i="3" s="1"/>
  <c r="E32" i="1"/>
  <c r="E94" i="4"/>
  <c r="G17" i="4"/>
  <c r="E19" i="10" s="1"/>
  <c r="H19" i="4"/>
  <c r="F20" i="4"/>
  <c r="F21" i="4"/>
  <c r="F21" i="5"/>
  <c r="J24" i="5"/>
  <c r="J20" i="5"/>
  <c r="K19" i="5" s="1"/>
  <c r="H68" i="4"/>
  <c r="T30" i="4" l="1"/>
  <c r="T31" i="4"/>
  <c r="T35" i="4"/>
  <c r="T75" i="4"/>
  <c r="T19" i="4"/>
  <c r="T74" i="4"/>
  <c r="N96" i="4"/>
  <c r="E36" i="5"/>
  <c r="E38" i="5" s="1"/>
  <c r="E39" i="5" s="1"/>
  <c r="S75" i="4"/>
  <c r="S35" i="4"/>
  <c r="S74" i="4" s="1"/>
  <c r="S30" i="4"/>
  <c r="S31" i="4"/>
  <c r="S19" i="4"/>
  <c r="M96" i="4"/>
  <c r="R35" i="4"/>
  <c r="R75" i="4"/>
  <c r="R30" i="4"/>
  <c r="R31" i="4"/>
  <c r="R19" i="4"/>
  <c r="R74" i="4"/>
  <c r="L96" i="4"/>
  <c r="Q30" i="4"/>
  <c r="Q31" i="4"/>
  <c r="Q35" i="4"/>
  <c r="Q75" i="4"/>
  <c r="Q19" i="4"/>
  <c r="Q74" i="4"/>
  <c r="K96" i="4"/>
  <c r="P35" i="4"/>
  <c r="P75" i="4"/>
  <c r="P30" i="4"/>
  <c r="P31" i="4"/>
  <c r="P19" i="4"/>
  <c r="P74" i="4"/>
  <c r="J96" i="4"/>
  <c r="O75" i="4"/>
  <c r="O35" i="4"/>
  <c r="O30" i="4"/>
  <c r="O31" i="4"/>
  <c r="O19" i="4"/>
  <c r="O74" i="4"/>
  <c r="I96" i="4"/>
  <c r="N30" i="4"/>
  <c r="N31" i="4"/>
  <c r="N35" i="4"/>
  <c r="N75" i="4"/>
  <c r="N19" i="4"/>
  <c r="N74" i="4"/>
  <c r="H96" i="4"/>
  <c r="M35" i="4"/>
  <c r="M30" i="4"/>
  <c r="M31" i="4"/>
  <c r="M75" i="4"/>
  <c r="M19" i="4"/>
  <c r="M74" i="4"/>
  <c r="G96" i="4"/>
  <c r="I30" i="4"/>
  <c r="I31" i="4"/>
  <c r="I35" i="4"/>
  <c r="I75" i="4"/>
  <c r="J30" i="4"/>
  <c r="J31" i="4"/>
  <c r="J35" i="4"/>
  <c r="J74" i="4" s="1"/>
  <c r="J75" i="4"/>
  <c r="K75" i="4"/>
  <c r="K35" i="4"/>
  <c r="K74" i="4" s="1"/>
  <c r="K30" i="4"/>
  <c r="K31" i="4"/>
  <c r="L35" i="4"/>
  <c r="L74" i="4" s="1"/>
  <c r="L75" i="4"/>
  <c r="L30" i="4"/>
  <c r="L31" i="4"/>
  <c r="E42" i="10"/>
  <c r="G42" i="10" s="1"/>
  <c r="E9" i="7"/>
  <c r="E24" i="6"/>
  <c r="E10" i="1" s="1"/>
  <c r="E9" i="1"/>
  <c r="I19" i="4"/>
  <c r="I74" i="4"/>
  <c r="F96" i="4"/>
  <c r="J20" i="4"/>
  <c r="J21" i="4"/>
  <c r="J23" i="4" s="1"/>
  <c r="J21" i="5"/>
  <c r="K20" i="4"/>
  <c r="K21" i="4"/>
  <c r="K23" i="4" s="1"/>
  <c r="K21" i="5"/>
  <c r="L20" i="4"/>
  <c r="L21" i="4"/>
  <c r="L23" i="4" s="1"/>
  <c r="L21" i="5"/>
  <c r="G35" i="4"/>
  <c r="G75" i="4"/>
  <c r="G30" i="4"/>
  <c r="G31" i="4"/>
  <c r="H75" i="4"/>
  <c r="H35" i="4"/>
  <c r="H74" i="4" s="1"/>
  <c r="H30" i="4"/>
  <c r="H31" i="4"/>
  <c r="E96" i="4"/>
  <c r="G19" i="4"/>
  <c r="G74" i="4"/>
  <c r="H20" i="4"/>
  <c r="H21" i="4"/>
  <c r="H23" i="4" s="1"/>
  <c r="H21" i="5"/>
  <c r="F37" i="4"/>
  <c r="F70" i="4"/>
  <c r="F23" i="4"/>
  <c r="F23" i="5"/>
  <c r="F28" i="5"/>
  <c r="F29" i="5"/>
  <c r="F32" i="5"/>
  <c r="F33" i="5" s="1"/>
  <c r="K24" i="5"/>
  <c r="K20" i="5"/>
  <c r="L19" i="5" s="1"/>
  <c r="I68" i="4"/>
  <c r="E100" i="4"/>
  <c r="F100" i="4"/>
  <c r="G29" i="4"/>
  <c r="T52" i="4" l="1"/>
  <c r="T33" i="4"/>
  <c r="T34" i="4"/>
  <c r="T61" i="4"/>
  <c r="T66" i="4" s="1"/>
  <c r="T20" i="4"/>
  <c r="T21" i="4"/>
  <c r="T21" i="5"/>
  <c r="E42" i="5"/>
  <c r="E49" i="5"/>
  <c r="S52" i="4"/>
  <c r="S33" i="4"/>
  <c r="S34" i="4"/>
  <c r="S61" i="4"/>
  <c r="S66" i="4" s="1"/>
  <c r="S20" i="4"/>
  <c r="S21" i="4"/>
  <c r="S21" i="5"/>
  <c r="R52" i="4"/>
  <c r="R33" i="4"/>
  <c r="R61" i="4"/>
  <c r="R66" i="4" s="1"/>
  <c r="R34" i="4"/>
  <c r="R20" i="4"/>
  <c r="R21" i="4" s="1"/>
  <c r="R37" i="4" s="1"/>
  <c r="R77" i="4" s="1"/>
  <c r="R30" i="10" s="1"/>
  <c r="R21" i="5"/>
  <c r="Q52" i="4"/>
  <c r="Q33" i="4"/>
  <c r="Q61" i="4"/>
  <c r="Q66" i="4" s="1"/>
  <c r="Q34" i="4"/>
  <c r="Q20" i="4"/>
  <c r="Q21" i="4" s="1"/>
  <c r="Q21" i="5"/>
  <c r="P33" i="4"/>
  <c r="P52" i="4"/>
  <c r="P34" i="4"/>
  <c r="P61" i="4"/>
  <c r="P66" i="4" s="1"/>
  <c r="P20" i="4"/>
  <c r="P21" i="4"/>
  <c r="P21" i="5"/>
  <c r="O52" i="4"/>
  <c r="O33" i="4"/>
  <c r="O34" i="4"/>
  <c r="O61" i="4"/>
  <c r="O66" i="4" s="1"/>
  <c r="O20" i="4"/>
  <c r="O21" i="4"/>
  <c r="O21" i="5"/>
  <c r="N33" i="4"/>
  <c r="N52" i="4"/>
  <c r="N34" i="4"/>
  <c r="N61" i="4"/>
  <c r="N66" i="4" s="1"/>
  <c r="N20" i="4"/>
  <c r="N21" i="4"/>
  <c r="N21" i="5"/>
  <c r="M33" i="4"/>
  <c r="M52" i="4"/>
  <c r="M34" i="4"/>
  <c r="M61" i="4"/>
  <c r="M66" i="4" s="1"/>
  <c r="M20" i="4"/>
  <c r="M21" i="4"/>
  <c r="M21" i="5"/>
  <c r="I52" i="4"/>
  <c r="I33" i="4"/>
  <c r="I34" i="4"/>
  <c r="I61" i="4"/>
  <c r="I66" i="4" s="1"/>
  <c r="J33" i="4"/>
  <c r="J52" i="4"/>
  <c r="J34" i="4"/>
  <c r="J61" i="4"/>
  <c r="J66" i="4" s="1"/>
  <c r="K52" i="4"/>
  <c r="K33" i="4"/>
  <c r="K34" i="4"/>
  <c r="K61" i="4"/>
  <c r="K66" i="4" s="1"/>
  <c r="L52" i="4"/>
  <c r="L33" i="4"/>
  <c r="L34" i="4"/>
  <c r="L61" i="4"/>
  <c r="L66" i="4" s="1"/>
  <c r="E13" i="7"/>
  <c r="E35" i="7"/>
  <c r="I20" i="4"/>
  <c r="I21" i="4"/>
  <c r="I21" i="5"/>
  <c r="J23" i="5"/>
  <c r="J28" i="5"/>
  <c r="J29" i="5"/>
  <c r="J32" i="5"/>
  <c r="J33" i="5" s="1"/>
  <c r="K23" i="5"/>
  <c r="K28" i="5"/>
  <c r="K29" i="5"/>
  <c r="K32" i="5"/>
  <c r="K33" i="5" s="1"/>
  <c r="L23" i="5"/>
  <c r="L28" i="5"/>
  <c r="L29" i="5"/>
  <c r="L32" i="5"/>
  <c r="L33" i="5" s="1"/>
  <c r="G52" i="4"/>
  <c r="G33" i="4"/>
  <c r="G61" i="4"/>
  <c r="G66" i="4" s="1"/>
  <c r="G34" i="4"/>
  <c r="H33" i="4"/>
  <c r="H37" i="4" s="1"/>
  <c r="H52" i="4"/>
  <c r="H61" i="4"/>
  <c r="H66" i="4" s="1"/>
  <c r="H34" i="4"/>
  <c r="G20" i="4"/>
  <c r="G21" i="4"/>
  <c r="G21" i="5"/>
  <c r="H23" i="5"/>
  <c r="H28" i="5"/>
  <c r="H29" i="5"/>
  <c r="H32" i="5"/>
  <c r="H33" i="5" s="1"/>
  <c r="F77" i="4"/>
  <c r="F30" i="10" s="1"/>
  <c r="F46" i="4"/>
  <c r="F71" i="4"/>
  <c r="F72" i="4" s="1"/>
  <c r="F33" i="10"/>
  <c r="G70" i="4"/>
  <c r="F30" i="5"/>
  <c r="F31" i="5"/>
  <c r="L24" i="5"/>
  <c r="L20" i="5"/>
  <c r="M19" i="5" s="1"/>
  <c r="J68" i="4"/>
  <c r="H28" i="4"/>
  <c r="H29" i="4" s="1"/>
  <c r="G31" i="10"/>
  <c r="G53" i="4"/>
  <c r="N106" i="4" l="1"/>
  <c r="T23" i="4"/>
  <c r="N97" i="4"/>
  <c r="T23" i="5"/>
  <c r="T29" i="5"/>
  <c r="T32" i="5"/>
  <c r="M106" i="4"/>
  <c r="S23" i="4"/>
  <c r="M97" i="4"/>
  <c r="S23" i="5"/>
  <c r="S29" i="5"/>
  <c r="S32" i="5"/>
  <c r="R46" i="4"/>
  <c r="L102" i="4" s="1"/>
  <c r="L99" i="4"/>
  <c r="L34" i="1" s="1"/>
  <c r="L106" i="4"/>
  <c r="R23" i="4"/>
  <c r="L97" i="4"/>
  <c r="R23" i="5"/>
  <c r="R29" i="5"/>
  <c r="R32" i="5"/>
  <c r="K106" i="4"/>
  <c r="Q23" i="4"/>
  <c r="K97" i="4"/>
  <c r="Q23" i="5"/>
  <c r="Q29" i="5"/>
  <c r="Q32" i="5"/>
  <c r="J106" i="4"/>
  <c r="P23" i="4"/>
  <c r="J97" i="4"/>
  <c r="P23" i="5"/>
  <c r="P29" i="5"/>
  <c r="P32" i="5"/>
  <c r="I106" i="4"/>
  <c r="O23" i="4"/>
  <c r="I97" i="4"/>
  <c r="O23" i="5"/>
  <c r="O29" i="5"/>
  <c r="O32" i="5"/>
  <c r="H106" i="4"/>
  <c r="N23" i="4"/>
  <c r="H97" i="4"/>
  <c r="N23" i="5"/>
  <c r="N29" i="5"/>
  <c r="N32" i="5"/>
  <c r="G106" i="4"/>
  <c r="M23" i="4"/>
  <c r="G97" i="4"/>
  <c r="M23" i="5"/>
  <c r="M29" i="5"/>
  <c r="M32" i="5"/>
  <c r="F106" i="4"/>
  <c r="F29" i="7"/>
  <c r="E20" i="7" s="1"/>
  <c r="E15" i="7"/>
  <c r="F35" i="7"/>
  <c r="G35" i="7"/>
  <c r="H35" i="7"/>
  <c r="I35" i="7"/>
  <c r="I23" i="4"/>
  <c r="F97" i="4"/>
  <c r="I23" i="5"/>
  <c r="I28" i="5"/>
  <c r="I29" i="5"/>
  <c r="I32" i="5"/>
  <c r="I33" i="5" s="1"/>
  <c r="J30" i="5"/>
  <c r="J31" i="5"/>
  <c r="K30" i="5"/>
  <c r="K31" i="5"/>
  <c r="L30" i="5"/>
  <c r="L31" i="5"/>
  <c r="H77" i="4"/>
  <c r="H30" i="10" s="1"/>
  <c r="H46" i="4"/>
  <c r="E106" i="4"/>
  <c r="E97" i="4"/>
  <c r="G23" i="4"/>
  <c r="G23" i="5"/>
  <c r="G28" i="5"/>
  <c r="G29" i="5"/>
  <c r="E48" i="5" s="1"/>
  <c r="E50" i="5" s="1"/>
  <c r="G32" i="5"/>
  <c r="G33" i="5" s="1"/>
  <c r="H30" i="5"/>
  <c r="H31" i="5"/>
  <c r="F48" i="4"/>
  <c r="G71" i="4"/>
  <c r="G72" i="4" s="1"/>
  <c r="H70" i="4"/>
  <c r="G33" i="10"/>
  <c r="M24" i="5"/>
  <c r="M28" i="5" s="1"/>
  <c r="M20" i="5"/>
  <c r="N19" i="5" s="1"/>
  <c r="K68" i="4"/>
  <c r="I28" i="4"/>
  <c r="I29" i="4" s="1"/>
  <c r="H31" i="10"/>
  <c r="H53" i="4"/>
  <c r="I37" i="4"/>
  <c r="J37" i="4"/>
  <c r="K37" i="4"/>
  <c r="L37" i="4"/>
  <c r="G37" i="4"/>
  <c r="M37" i="4"/>
  <c r="S37" i="4"/>
  <c r="Q37" i="4"/>
  <c r="O37" i="4"/>
  <c r="T37" i="4"/>
  <c r="P37" i="4"/>
  <c r="N37" i="4"/>
  <c r="T31" i="5" l="1"/>
  <c r="S31" i="5"/>
  <c r="R31" i="5"/>
  <c r="Q31" i="5"/>
  <c r="P31" i="5"/>
  <c r="O31" i="5"/>
  <c r="N30" i="5"/>
  <c r="N31" i="5"/>
  <c r="M30" i="5"/>
  <c r="M31" i="5"/>
  <c r="E12" i="1"/>
  <c r="E45" i="10"/>
  <c r="G45" i="10" s="1"/>
  <c r="E19" i="7"/>
  <c r="E16" i="7"/>
  <c r="I30" i="5"/>
  <c r="I31" i="5"/>
  <c r="G30" i="5"/>
  <c r="G31" i="5"/>
  <c r="E51" i="5" s="1"/>
  <c r="E52" i="5" s="1"/>
  <c r="E53" i="5" s="1"/>
  <c r="E54" i="5"/>
  <c r="E16" i="1" s="1"/>
  <c r="G47" i="4"/>
  <c r="G48" i="4" s="1"/>
  <c r="F32" i="10"/>
  <c r="F50" i="4"/>
  <c r="F59" i="4" s="1"/>
  <c r="F76" i="4" s="1"/>
  <c r="F29" i="10" s="1"/>
  <c r="H71" i="4"/>
  <c r="I70" i="4"/>
  <c r="H33" i="10"/>
  <c r="N24" i="5"/>
  <c r="N20" i="5"/>
  <c r="O19" i="5" s="1"/>
  <c r="L68" i="4"/>
  <c r="J28" i="4"/>
  <c r="J29" i="4" s="1"/>
  <c r="I31" i="10"/>
  <c r="I53" i="4"/>
  <c r="F99" i="4"/>
  <c r="F34" i="1" s="1"/>
  <c r="I46" i="4"/>
  <c r="I77" i="4"/>
  <c r="I30" i="10" s="1"/>
  <c r="J46" i="4"/>
  <c r="J77" i="4"/>
  <c r="J30" i="10" s="1"/>
  <c r="K46" i="4"/>
  <c r="K77" i="4"/>
  <c r="K30" i="10" s="1"/>
  <c r="L46" i="4"/>
  <c r="L77" i="4"/>
  <c r="L30" i="10" s="1"/>
  <c r="E99" i="4"/>
  <c r="E34" i="1" s="1"/>
  <c r="G77" i="4"/>
  <c r="G30" i="10" s="1"/>
  <c r="G46" i="4"/>
  <c r="E102" i="4" s="1"/>
  <c r="G99" i="4"/>
  <c r="G34" i="1" s="1"/>
  <c r="M46" i="4"/>
  <c r="G102" i="4" s="1"/>
  <c r="M77" i="4"/>
  <c r="M30" i="10" s="1"/>
  <c r="S46" i="4"/>
  <c r="M102" i="4" s="1"/>
  <c r="M99" i="4"/>
  <c r="M34" i="1" s="1"/>
  <c r="S77" i="4"/>
  <c r="S30" i="10" s="1"/>
  <c r="K99" i="4"/>
  <c r="K34" i="1" s="1"/>
  <c r="Q46" i="4"/>
  <c r="K102" i="4" s="1"/>
  <c r="Q77" i="4"/>
  <c r="Q30" i="10" s="1"/>
  <c r="O46" i="4"/>
  <c r="I102" i="4" s="1"/>
  <c r="I99" i="4"/>
  <c r="I34" i="1" s="1"/>
  <c r="O77" i="4"/>
  <c r="O30" i="10" s="1"/>
  <c r="T46" i="4"/>
  <c r="N102" i="4" s="1"/>
  <c r="N99" i="4"/>
  <c r="N34" i="1" s="1"/>
  <c r="T77" i="4"/>
  <c r="T30" i="10" s="1"/>
  <c r="P46" i="4"/>
  <c r="J102" i="4" s="1"/>
  <c r="J99" i="4"/>
  <c r="J34" i="1" s="1"/>
  <c r="P77" i="4"/>
  <c r="P30" i="10" s="1"/>
  <c r="N46" i="4"/>
  <c r="H102" i="4" s="1"/>
  <c r="H99" i="4"/>
  <c r="H34" i="1" s="1"/>
  <c r="N77" i="4"/>
  <c r="N30" i="10" s="1"/>
  <c r="M33" i="5"/>
  <c r="E44" i="10" l="1"/>
  <c r="G44" i="10" s="1"/>
  <c r="E11" i="1"/>
  <c r="E70" i="5"/>
  <c r="E23" i="1"/>
  <c r="E15" i="1"/>
  <c r="E43" i="10"/>
  <c r="G43" i="10" s="1"/>
  <c r="E22" i="10"/>
  <c r="E37" i="7"/>
  <c r="G50" i="4"/>
  <c r="G59" i="4" s="1"/>
  <c r="G76" i="4" s="1"/>
  <c r="G29" i="10" s="1"/>
  <c r="G32" i="10"/>
  <c r="H47" i="4"/>
  <c r="H48" i="4" s="1"/>
  <c r="H72" i="4"/>
  <c r="E107" i="4"/>
  <c r="I71" i="4"/>
  <c r="I72" i="4" s="1"/>
  <c r="J70" i="4"/>
  <c r="I33" i="10"/>
  <c r="N33" i="5"/>
  <c r="N28" i="5"/>
  <c r="O24" i="5"/>
  <c r="O20" i="5"/>
  <c r="P19" i="5" s="1"/>
  <c r="M68" i="4"/>
  <c r="K28" i="4"/>
  <c r="K29" i="4" s="1"/>
  <c r="J31" i="10"/>
  <c r="J53" i="4"/>
  <c r="F102" i="4"/>
  <c r="I37" i="7" l="1"/>
  <c r="F37" i="7"/>
  <c r="G37" i="7"/>
  <c r="H37" i="7"/>
  <c r="H50" i="4"/>
  <c r="H32" i="10"/>
  <c r="I47" i="4"/>
  <c r="I48" i="4" s="1"/>
  <c r="J71" i="4"/>
  <c r="J72" i="4" s="1"/>
  <c r="K70" i="4"/>
  <c r="J33" i="10"/>
  <c r="O30" i="5"/>
  <c r="O33" i="5"/>
  <c r="O28" i="5"/>
  <c r="P24" i="5"/>
  <c r="P20" i="5"/>
  <c r="Q19" i="5" s="1"/>
  <c r="N68" i="4"/>
  <c r="L28" i="4"/>
  <c r="L29" i="4" s="1"/>
  <c r="K31" i="10"/>
  <c r="K53" i="4"/>
  <c r="H59" i="4" l="1"/>
  <c r="E104" i="4"/>
  <c r="E35" i="1" s="1"/>
  <c r="I50" i="4"/>
  <c r="I59" i="4" s="1"/>
  <c r="I76" i="4" s="1"/>
  <c r="I29" i="10" s="1"/>
  <c r="I32" i="10"/>
  <c r="J47" i="4"/>
  <c r="J48" i="4" s="1"/>
  <c r="K71" i="4"/>
  <c r="K72" i="4" s="1"/>
  <c r="L70" i="4"/>
  <c r="K33" i="10"/>
  <c r="P30" i="5"/>
  <c r="P33" i="5"/>
  <c r="P28" i="5"/>
  <c r="Q24" i="5"/>
  <c r="Q20" i="5"/>
  <c r="R19" i="5" s="1"/>
  <c r="O68" i="4"/>
  <c r="M28" i="4"/>
  <c r="M29" i="4" s="1"/>
  <c r="L31" i="10"/>
  <c r="L53" i="4"/>
  <c r="H76" i="4" l="1"/>
  <c r="E105" i="4"/>
  <c r="J50" i="4"/>
  <c r="J59" i="4" s="1"/>
  <c r="J76" i="4" s="1"/>
  <c r="J29" i="10" s="1"/>
  <c r="J32" i="10"/>
  <c r="K47" i="4"/>
  <c r="K48" i="4" s="1"/>
  <c r="E23" i="10" s="1"/>
  <c r="L71" i="4"/>
  <c r="M70" i="4"/>
  <c r="L33" i="10"/>
  <c r="Q30" i="5"/>
  <c r="Q33" i="5"/>
  <c r="Q28" i="5"/>
  <c r="R24" i="5"/>
  <c r="R20" i="5"/>
  <c r="S19" i="5" s="1"/>
  <c r="P68" i="4"/>
  <c r="N28" i="4"/>
  <c r="N29" i="4" s="1"/>
  <c r="M31" i="10"/>
  <c r="M53" i="4"/>
  <c r="E108" i="4" l="1"/>
  <c r="H29" i="10"/>
  <c r="K50" i="4"/>
  <c r="K59" i="4" s="1"/>
  <c r="K76" i="4" s="1"/>
  <c r="K29" i="10" s="1"/>
  <c r="K32" i="10"/>
  <c r="L47" i="4"/>
  <c r="L48" i="4" s="1"/>
  <c r="F107" i="4"/>
  <c r="L72" i="4"/>
  <c r="M71" i="4"/>
  <c r="N70" i="4"/>
  <c r="M33" i="10"/>
  <c r="R30" i="5"/>
  <c r="R33" i="5"/>
  <c r="R28" i="5"/>
  <c r="S24" i="5"/>
  <c r="S20" i="5"/>
  <c r="T19" i="5" s="1"/>
  <c r="Q68" i="4"/>
  <c r="O28" i="4"/>
  <c r="O29" i="4" s="1"/>
  <c r="N31" i="10"/>
  <c r="N53" i="4"/>
  <c r="L50" i="4" l="1"/>
  <c r="L32" i="10"/>
  <c r="M47" i="4"/>
  <c r="M48" i="4" s="1"/>
  <c r="G107" i="4"/>
  <c r="M72" i="4"/>
  <c r="N71" i="4"/>
  <c r="O70" i="4"/>
  <c r="N33" i="10"/>
  <c r="S30" i="5"/>
  <c r="S33" i="5"/>
  <c r="S28" i="5"/>
  <c r="T24" i="5"/>
  <c r="T20" i="5"/>
  <c r="R68" i="4"/>
  <c r="P28" i="4"/>
  <c r="P29" i="4" s="1"/>
  <c r="O31" i="10"/>
  <c r="O53" i="4"/>
  <c r="L59" i="4" l="1"/>
  <c r="F104" i="4"/>
  <c r="F35" i="1" s="1"/>
  <c r="M50" i="4"/>
  <c r="M32" i="10"/>
  <c r="N47" i="4"/>
  <c r="N48" i="4" s="1"/>
  <c r="H107" i="4"/>
  <c r="N72" i="4"/>
  <c r="O71" i="4"/>
  <c r="P70" i="4"/>
  <c r="O33" i="10"/>
  <c r="T30" i="5"/>
  <c r="E44" i="5" s="1"/>
  <c r="T33" i="5"/>
  <c r="E56" i="5" s="1"/>
  <c r="T28" i="5"/>
  <c r="E41" i="5" s="1"/>
  <c r="E43" i="5" s="1"/>
  <c r="E45" i="5" s="1"/>
  <c r="S68" i="4"/>
  <c r="Q28" i="4"/>
  <c r="Q29" i="4" s="1"/>
  <c r="P31" i="10"/>
  <c r="P53" i="4"/>
  <c r="L76" i="4" l="1"/>
  <c r="F105" i="4"/>
  <c r="M59" i="4"/>
  <c r="G104" i="4"/>
  <c r="G35" i="1" s="1"/>
  <c r="N50" i="4"/>
  <c r="N32" i="10"/>
  <c r="O47" i="4"/>
  <c r="O48" i="4" s="1"/>
  <c r="I107" i="4"/>
  <c r="O72" i="4"/>
  <c r="P71" i="4"/>
  <c r="Q70" i="4"/>
  <c r="P33" i="10"/>
  <c r="E57" i="5"/>
  <c r="E46" i="5"/>
  <c r="E14" i="1" s="1"/>
  <c r="T68" i="4"/>
  <c r="R28" i="4"/>
  <c r="R29" i="4" s="1"/>
  <c r="Q31" i="10"/>
  <c r="Q53" i="4"/>
  <c r="F108" i="4" l="1"/>
  <c r="L29" i="10"/>
  <c r="M76" i="4"/>
  <c r="G105" i="4"/>
  <c r="N59" i="4"/>
  <c r="H104" i="4"/>
  <c r="H35" i="1" s="1"/>
  <c r="O50" i="4"/>
  <c r="O32" i="10"/>
  <c r="P47" i="4"/>
  <c r="P48" i="4" s="1"/>
  <c r="J107" i="4"/>
  <c r="P72" i="4"/>
  <c r="Q71" i="4"/>
  <c r="R70" i="4"/>
  <c r="Q33" i="10"/>
  <c r="E58" i="5"/>
  <c r="E21" i="1"/>
  <c r="S28" i="4"/>
  <c r="S29" i="4" s="1"/>
  <c r="R31" i="10"/>
  <c r="R53" i="4"/>
  <c r="G108" i="4" l="1"/>
  <c r="M29" i="10"/>
  <c r="N76" i="4"/>
  <c r="H105" i="4"/>
  <c r="O59" i="4"/>
  <c r="I104" i="4"/>
  <c r="I35" i="1" s="1"/>
  <c r="P50" i="4"/>
  <c r="P32" i="10"/>
  <c r="Q47" i="4"/>
  <c r="Q48" i="4" s="1"/>
  <c r="K107" i="4"/>
  <c r="Q72" i="4"/>
  <c r="R71" i="4"/>
  <c r="S70" i="4"/>
  <c r="R33" i="10"/>
  <c r="T28" i="4"/>
  <c r="T29" i="4" s="1"/>
  <c r="S31" i="10"/>
  <c r="S53" i="4"/>
  <c r="H108" i="4" l="1"/>
  <c r="N29" i="10"/>
  <c r="O76" i="4"/>
  <c r="I105" i="4"/>
  <c r="P59" i="4"/>
  <c r="J104" i="4"/>
  <c r="J35" i="1" s="1"/>
  <c r="Q50" i="4"/>
  <c r="Q32" i="10"/>
  <c r="R47" i="4"/>
  <c r="R48" i="4" s="1"/>
  <c r="L107" i="4"/>
  <c r="R72" i="4"/>
  <c r="S71" i="4"/>
  <c r="T70" i="4"/>
  <c r="S33" i="10"/>
  <c r="T31" i="10"/>
  <c r="T53" i="4"/>
  <c r="I108" i="4" l="1"/>
  <c r="O29" i="10"/>
  <c r="P76" i="4"/>
  <c r="J105" i="4"/>
  <c r="Q59" i="4"/>
  <c r="K104" i="4"/>
  <c r="K35" i="1" s="1"/>
  <c r="R50" i="4"/>
  <c r="R32" i="10"/>
  <c r="S47" i="4"/>
  <c r="S48" i="4" s="1"/>
  <c r="M107" i="4"/>
  <c r="S72" i="4"/>
  <c r="T71" i="4"/>
  <c r="T33" i="10"/>
  <c r="J108" i="4" l="1"/>
  <c r="P29" i="10"/>
  <c r="Q76" i="4"/>
  <c r="K105" i="4"/>
  <c r="R59" i="4"/>
  <c r="L104" i="4"/>
  <c r="L35" i="1" s="1"/>
  <c r="S50" i="4"/>
  <c r="S32" i="10"/>
  <c r="T47" i="4"/>
  <c r="T48" i="4" s="1"/>
  <c r="N107" i="4"/>
  <c r="T72" i="4"/>
  <c r="K108" i="4" l="1"/>
  <c r="Q29" i="10"/>
  <c r="R76" i="4"/>
  <c r="L105" i="4"/>
  <c r="S59" i="4"/>
  <c r="M104" i="4"/>
  <c r="M35" i="1" s="1"/>
  <c r="T50" i="4"/>
  <c r="T32" i="10"/>
  <c r="L108" i="4" l="1"/>
  <c r="R29" i="10"/>
  <c r="S76" i="4"/>
  <c r="M105" i="4"/>
  <c r="T59" i="4"/>
  <c r="N104" i="4"/>
  <c r="N35" i="1" s="1"/>
  <c r="M108" i="4" l="1"/>
  <c r="S29" i="10"/>
  <c r="T76" i="4"/>
  <c r="N105" i="4"/>
  <c r="N108" i="4" l="1"/>
  <c r="T29" i="10"/>
</calcChain>
</file>

<file path=xl/sharedStrings.xml><?xml version="1.0" encoding="utf-8"?>
<sst xmlns="http://schemas.openxmlformats.org/spreadsheetml/2006/main" count="706" uniqueCount="499">
  <si>
    <t>Arm Holdings short valuation</t>
  </si>
  <si>
    <t>USD billions, except shares in billions and per-share amounts. FY ends 31 March.</t>
  </si>
  <si>
    <t>Selected case</t>
  </si>
  <si>
    <t>Reference price</t>
  </si>
  <si>
    <t>Gross price downside</t>
  </si>
  <si>
    <t>Net notional return after borrow</t>
  </si>
  <si>
    <t>Illustrative collateral XIRR</t>
  </si>
  <si>
    <t>Current DCF per share</t>
  </si>
  <si>
    <t>Target-date DCF per share</t>
  </si>
  <si>
    <t>Terminal value / enterprise value</t>
  </si>
  <si>
    <t>Reference date</t>
  </si>
  <si>
    <t>Target date</t>
  </si>
  <si>
    <t>Eligibility market cap proxy ($bn)</t>
  </si>
  <si>
    <t>Price-implied revenue multiplier</t>
  </si>
  <si>
    <t>Net return at active DCF value</t>
  </si>
  <si>
    <t>SHORT. The base forecast grants strong growth; the recommendation depends mainly on valuation compression within one year.</t>
  </si>
  <si>
    <t>Change Assumptions E5 to compare Bear (1), Base (2) and Bull (3). Each selection recalculates the same linked statements and valuation.</t>
  </si>
  <si>
    <t>The $125 base target remains a judgment. Stronger CPU execution and a sustained premium multiple can invalidate the short.</t>
  </si>
  <si>
    <t>Annual forecast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</si>
  <si>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</si>
  <si>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</si>
  <si>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</si>
  <si>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</si>
  <si>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</si>
  <si>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</si>
  <si>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</si>
  <si>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</si>
  <si>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</si>
  <si>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FY2036E</t>
  </si>
  <si>
    <t>Revenue</t>
  </si>
  <si>
    <t>Economic operating income</t>
  </si>
  <si>
    <t>Adjusted operating EPS proxy</t>
  </si>
  <si>
    <t>Cash from operations</t>
  </si>
  <si>
    <t>Ending cash</t>
  </si>
  <si>
    <t>Fiscal year</t>
  </si>
  <si>
    <t>IP / total</t>
  </si>
  <si>
    <t>CPU</t>
  </si>
  <si>
    <t>FY26A</t>
  </si>
  <si>
    <t>FY27E</t>
  </si>
  <si>
    <t>FY28E</t>
  </si>
  <si>
    <t>FY29E</t>
  </si>
  <si>
    <t>FY31E</t>
  </si>
  <si>
    <t>Assumptions</t>
  </si>
  <si>
    <t>Case number: 1 Bear, 2 Base, 3 Bull</t>
  </si>
  <si>
    <t>Factual inputs link to Sources. Grey control selects one case through one forecast.</t>
  </si>
  <si>
    <t>Opening balance sheet date</t>
  </si>
  <si>
    <t>Valuation diluted shares</t>
  </si>
  <si>
    <t>Terminal growth</t>
  </si>
  <si>
    <t>3% long-run growth and 30% ROIC are valuation assumptions, not guidance.</t>
  </si>
  <si>
    <t>Terminal ROIC</t>
  </si>
  <si>
    <t>Equity investment recovery</t>
  </si>
  <si>
    <t>Annual borrow fee assumption</t>
  </si>
  <si>
    <t>Borrow is unquoted. Sensitivities include 3%, 6%, 12% and 20%; recall remains a risk.</t>
  </si>
  <si>
    <t>Initial cash collateral / notional</t>
  </si>
  <si>
    <t>Annual dividend per share</t>
  </si>
  <si>
    <t>Illustrative CPU selling price ($)</t>
  </si>
  <si>
    <t>Q2 FY27 revenue midpoint</t>
  </si>
  <si>
    <t>Q2 gross margin assumption</t>
  </si>
  <si>
    <t>Q2 adjusted operating expense</t>
  </si>
  <si>
    <t>Q2 compensation adjustment</t>
  </si>
  <si>
    <t>Q3 share of FY27 remainder</t>
  </si>
  <si>
    <t>SBC offset repurchases / SBC</t>
  </si>
  <si>
    <t>100% offset repurchases keep economic share count flat. This is not a buyback announcement.</t>
  </si>
  <si>
    <t>Q1 FY28 share of FY28 revenue</t>
  </si>
  <si>
    <t>Q2 FY28 share of FY28 revenue</t>
  </si>
  <si>
    <t>Street EPS target multiple</t>
  </si>
  <si>
    <t>Own EPS target multiple</t>
  </si>
  <si>
    <t>Q3 FY28 share of FY28 revenue</t>
  </si>
  <si>
    <t>DreamBig acquisition cash paid</t>
  </si>
  <si>
    <t>Known July cash acquisition. Provisional goodwill allocation pending final purchase accounting.</t>
  </si>
  <si>
    <t>Assumed R&amp;D share of operating costs</t>
  </si>
  <si>
    <t>Forecast expense allocation only. Historical R&amp;D is reported separately.</t>
  </si>
  <si>
    <t>Effective tax rate</t>
  </si>
  <si>
    <t>Normalized tax; no recurring investment gains or interest income forecast.</t>
  </si>
  <si>
    <t>Financial debt beyond grouped leases</t>
  </si>
  <si>
    <t>IP revenue - selected</t>
  </si>
  <si>
    <t>Bear</t>
  </si>
  <si>
    <t>Base</t>
  </si>
  <si>
    <t>Bull</t>
  </si>
  <si>
    <t>CPU revenue - selected</t>
  </si>
  <si>
    <t>IP gross margin - selected</t>
  </si>
  <si>
    <t>CPU gross margin - selected</t>
  </si>
  <si>
    <t>Adjusted operating expenses - selected</t>
  </si>
  <si>
    <t>Compensation and other adjustments - selected</t>
  </si>
  <si>
    <t>Capital spending / revenue - selected</t>
  </si>
  <si>
    <t>D&amp;A / revenue - selected</t>
  </si>
  <si>
    <t>Net working capital / annualized sales - selected</t>
  </si>
  <si>
    <t>Non-cash SBC / compensation adjustment - selected</t>
  </si>
  <si>
    <t>Discount rate - selected</t>
  </si>
  <si>
    <t>IP revenue share from royalties - selected</t>
  </si>
  <si>
    <t>All future operating inputs are analyst estimates. FY31 base grants management $10bn IP and $15bn CPU revenue.</t>
  </si>
  <si>
    <t>The 20% working-capital ratio includes receivables, contract balances and future inventory needs in aggregate.</t>
  </si>
  <si>
    <t>Quarterly run-rate sales set quarter-end working capital. The fiscal year-end ratio to annual revenue can differ.</t>
  </si>
  <si>
    <t>The compensation allowance includes SBC and other adjustments. Its non-cash fraction is estimated from Q1.</t>
  </si>
  <si>
    <t>Non-cash SBC uses $343m / $440m. The $11m gross-profit adjustment explains Q1 operating-expense gap differences.</t>
  </si>
  <si>
    <t>Case changes recalculate the same forecast. Review each case using E5; there are no hidden parallel forecasts.</t>
  </si>
  <si>
    <t>Reported inputs and model estimates are separated. Blank selected assumptions produce an error, not a zero.</t>
  </si>
  <si>
    <t>Operating</t>
  </si>
  <si>
    <t>Royalty revenue</t>
  </si>
  <si>
    <t>License and other IP revenue</t>
  </si>
  <si>
    <t>Total IP revenue</t>
  </si>
  <si>
    <t>CPU revenue</t>
  </si>
  <si>
    <t>Total revenue</t>
  </si>
  <si>
    <t>Revenue growth</t>
  </si>
  <si>
    <t>IP gross margin</t>
  </si>
  <si>
    <t>CPU gross margin</t>
  </si>
  <si>
    <t>IP gross profit</t>
  </si>
  <si>
    <t>CPU gross profit</t>
  </si>
  <si>
    <t>Total gross profit</t>
  </si>
  <si>
    <t>Blended gross margin</t>
  </si>
  <si>
    <t>Adjusted operating expense</t>
  </si>
  <si>
    <t>Compensation adjustment</t>
  </si>
  <si>
    <t>Total operating expense</t>
  </si>
  <si>
    <t>Economic operating margin</t>
  </si>
  <si>
    <t>Adjusted operating income</t>
  </si>
  <si>
    <t>Normalized economic net income</t>
  </si>
  <si>
    <t>Economic EPS</t>
  </si>
  <si>
    <t>CPU units at assumed ASP (millions)</t>
  </si>
  <si>
    <t>CPU share of $100bn reference TAM</t>
  </si>
  <si>
    <t>Non-cash SBC estimate</t>
  </si>
  <si>
    <t>Cash portion of adjustment</t>
  </si>
  <si>
    <t>FY27 reported Q1 is preserved in Statements. Normalized annual EPS applies 18% tax to the full year and excludes gains.</t>
  </si>
  <si>
    <t>Royalty/license split is analytical. Volume and ASP are not disclosed; the CPU-unit calculation is a feasibility check.</t>
  </si>
  <si>
    <t>FY31 base IP $10bn and CPU $15bn match management ambitions. Achieving them is not assured.</t>
  </si>
  <si>
    <t>Route</t>
  </si>
  <si>
    <t>Chip reference ($)</t>
  </si>
  <si>
    <t>Share / margin</t>
  </si>
  <si>
    <t>Gross profit ($)</t>
  </si>
  <si>
    <t>IP license</t>
  </si>
  <si>
    <t>CSS</t>
  </si>
  <si>
    <t>Own CPU</t>
  </si>
  <si>
    <t>Statements</t>
  </si>
  <si>
    <t>Q1 FY27A</t>
  </si>
  <si>
    <t>Q2 FY27E</t>
  </si>
  <si>
    <t>Q3 FY27E</t>
  </si>
  <si>
    <t>Q4 FY27E</t>
  </si>
  <si>
    <t>Q1 FY28E</t>
  </si>
  <si>
    <t>Q2 FY28E</t>
  </si>
  <si>
    <t>Q3 FY28E</t>
  </si>
  <si>
    <t>Q4 FY28E</t>
  </si>
  <si>
    <t>Period duration (years)</t>
  </si>
  <si>
    <t>Cost of sales</t>
  </si>
  <si>
    <t>Gross profit</t>
  </si>
  <si>
    <t>Compensation and other adjustments</t>
  </si>
  <si>
    <t>Research and development</t>
  </si>
  <si>
    <t>Other operating expenses</t>
  </si>
  <si>
    <t>Operating income</t>
  </si>
  <si>
    <t>Non-operating income</t>
  </si>
  <si>
    <t>Income before tax</t>
  </si>
  <si>
    <t>Tax expense / benefit</t>
  </si>
  <si>
    <t>Net income</t>
  </si>
  <si>
    <t>Diluted shares</t>
  </si>
  <si>
    <t>EPS</t>
  </si>
  <si>
    <t>D&amp;A</t>
  </si>
  <si>
    <t>Non-cash SBC</t>
  </si>
  <si>
    <t>Cash capital spending</t>
  </si>
  <si>
    <t>Opening depreciable assets</t>
  </si>
  <si>
    <t>Closing depreciable assets</t>
  </si>
  <si>
    <t>Operating assets excluding cash</t>
  </si>
  <si>
    <t>Operating accruals and contract liabilities</t>
  </si>
  <si>
    <t>Net operating working capital</t>
  </si>
  <si>
    <t>Change in operating assets</t>
  </si>
  <si>
    <t>Change in operating liabilities</t>
  </si>
  <si>
    <t>Change in net working capital</t>
  </si>
  <si>
    <t>Capital spending cash flow</t>
  </si>
  <si>
    <t>Acquisitions</t>
  </si>
  <si>
    <t>Other investment cash flows</t>
  </si>
  <si>
    <t>Cash from investing</t>
  </si>
  <si>
    <t>Offset SBC repurchases / tax withholding</t>
  </si>
  <si>
    <t>Other financing cash flow</t>
  </si>
  <si>
    <t>Cash from financing</t>
  </si>
  <si>
    <t>FX and other cash effects</t>
  </si>
  <si>
    <t>Net change in cash</t>
  </si>
  <si>
    <t>Opening cash</t>
  </si>
  <si>
    <t>Closing cash</t>
  </si>
  <si>
    <t>Cash and cash equivalents</t>
  </si>
  <si>
    <t>Short-term investments</t>
  </si>
  <si>
    <t>Depreciable assets</t>
  </si>
  <si>
    <t>Operating lease ROU assets</t>
  </si>
  <si>
    <t>Equity investments</t>
  </si>
  <si>
    <t>Goodwill and acquisition allocation</t>
  </si>
  <si>
    <t>Deferred tax assets</t>
  </si>
  <si>
    <t>Other non-current assets</t>
  </si>
  <si>
    <t>Total assets</t>
  </si>
  <si>
    <t>Tax liabilities</t>
  </si>
  <si>
    <t>Deferred tax liabilities</t>
  </si>
  <si>
    <t>Operating lease liabilities</t>
  </si>
  <si>
    <t>Other non-current liabilities</t>
  </si>
  <si>
    <t>Total liabilities</t>
  </si>
  <si>
    <t>Ordinary capital and APIC</t>
  </si>
  <si>
    <t>Other comprehensive income</t>
  </si>
  <si>
    <t>Retained earnings</t>
  </si>
  <si>
    <t>Total equity</t>
  </si>
  <si>
    <t>Total liabilities and equity</t>
  </si>
  <si>
    <t>Economic FCFF after compensation</t>
  </si>
  <si>
    <t>Net working capital / run-rate sales</t>
  </si>
  <si>
    <t>Balance sheet difference</t>
  </si>
  <si>
    <t>Cash-flow to FCFF reconciliation</t>
  </si>
  <si>
    <t>Forecast statements use normalized earnings and simplified grouped balance-sheet accounts, not company guidance.</t>
  </si>
  <si>
    <t>Operating assets and liabilities retain June composition and scale to net working capital. Inventory is included in the aggregate assumption.</t>
  </si>
  <si>
    <t>Depreciable assets combine PPE, intangibles and finance ROU. Capex and depreciation are revenue-based proxies, not a vintage model.</t>
  </si>
  <si>
    <t>Other lease and deferred-tax balances remain flat. Lease expense is included in operating costs; no additional lease debt is deducted in DCF.</t>
  </si>
  <si>
    <t>The $21m current finance lease liability is inside reported other current liabilities and the grouped working-capital proxy.</t>
  </si>
  <si>
    <t>Q1 investing/financing categories are regrouped for comparability; reported totals and cash change remain unchanged.</t>
  </si>
  <si>
    <t>Future SBC is added back in CFO, then offset in financing. No second SBC deduction is taken from economic FCFF.</t>
  </si>
  <si>
    <t>DreamBig cash outflow is recorded once in Q2. Its provisional goodwill addition is an allocation assumption, not a disclosed purchase-price allocation.</t>
  </si>
  <si>
    <t>Annual three-statement summary</t>
  </si>
  <si>
    <t>FY27 net income includes reported Q1 investment gains and tax benefit. It differs from full-year normalized economic earnings in Operating.</t>
  </si>
  <si>
    <t>Cash balances are calculated from operating, investing and financing flows. Equity is rolled forward independently; no balance-sheet plug.</t>
  </si>
  <si>
    <t>DCF</t>
  </si>
  <si>
    <t>WACC</t>
  </si>
  <si>
    <t>Elapsed years from June 30</t>
  </si>
  <si>
    <t>Target years from June 30</t>
  </si>
  <si>
    <t>Opening cash plus short investments</t>
  </si>
  <si>
    <t>Known July acquisition</t>
  </si>
  <si>
    <t>Net financial debt</t>
  </si>
  <si>
    <t>Equity investments recovered</t>
  </si>
  <si>
    <t>Period duration</t>
  </si>
  <si>
    <t>Period start in years</t>
  </si>
  <si>
    <t>Period end in years</t>
  </si>
  <si>
    <t>Economic FCFF</t>
  </si>
  <si>
    <t>Financing difference versus economic FCFF</t>
  </si>
  <si>
    <t>Net economic cash accrual</t>
  </si>
  <si>
    <t>Fraction elapsed at reference date</t>
  </si>
  <si>
    <t>Fraction elapsed at target date</t>
  </si>
  <si>
    <t>PV factor at reference date</t>
  </si>
  <si>
    <t>PV factor at target date</t>
  </si>
  <si>
    <t>PV of remaining FCFF today</t>
  </si>
  <si>
    <t>PV of remaining FCFF at target</t>
  </si>
  <si>
    <t>Accrued cash through reference date</t>
  </si>
  <si>
    <t>Accrued cash through target date</t>
  </si>
  <si>
    <t>Base FCFF slope to proportional revenue</t>
  </si>
  <si>
    <t>Revenue slope of current equity value</t>
  </si>
  <si>
    <t>Final-year NOPAT</t>
  </si>
  <si>
    <t>Terminal reinvestment rate</t>
  </si>
  <si>
    <t>Terminal FCFF</t>
  </si>
  <si>
    <t>Terminal enterprise value</t>
  </si>
  <si>
    <t>PV explicit FCFF today</t>
  </si>
  <si>
    <t>PV terminal value today</t>
  </si>
  <si>
    <t>Current enterprise value</t>
  </si>
  <si>
    <t>Cash at reference date</t>
  </si>
  <si>
    <t>Current equity value</t>
  </si>
  <si>
    <t>PV explicit FCFF at target</t>
  </si>
  <si>
    <t>PV terminal value at target</t>
  </si>
  <si>
    <t>Target-date enterprise value</t>
  </si>
  <si>
    <t>Cash at target date</t>
  </si>
  <si>
    <t>Target-date equity value</t>
  </si>
  <si>
    <t>Terminal share of enterprise value</t>
  </si>
  <si>
    <t>Revenue scale equity-value slope</t>
  </si>
  <si>
    <t>Implied FY31 revenue</t>
  </si>
  <si>
    <t>DCF horizon is October 2027; forecasts continue to FY2036 to value cash flows beyond the holding period.</t>
  </si>
  <si>
    <t>Quarterly periods use 0.25 years. Cash accrues pro rata. The acquisition is paid before the reference date and deducted once.</t>
  </si>
  <si>
    <t>Terminal FCFF uses g / ROIC reinvestment, replacing explicit capex and working-capital ratios in the mature state.</t>
  </si>
  <si>
    <t>Reverse DCF scales all future revenue while retaining period margins and capital intensity. It is a conditional hurdle, not literal consensus.</t>
  </si>
  <si>
    <t>11.5% base WACC is an analyst equity hurdle. Sensitivity tests cover 9%-13%; it is not an estimated CAPM beta.</t>
  </si>
  <si>
    <t>Target-date DCF sensitivity to WACC and terminal growth</t>
  </si>
  <si>
    <t>Comps</t>
  </si>
  <si>
    <t>Company</t>
  </si>
  <si>
    <t>Ticker</t>
  </si>
  <si>
    <t>Price ($)</t>
  </si>
  <si>
    <t>Forward EPS</t>
  </si>
  <si>
    <t>Fiscal end</t>
  </si>
  <si>
    <t>P/E</t>
  </si>
  <si>
    <t>Business comparison</t>
  </si>
  <si>
    <t>IP and own CPU</t>
  </si>
  <si>
    <t>Server CPU designer</t>
  </si>
  <si>
    <t>EDA and semiconductor IP</t>
  </si>
  <si>
    <t>Street FY28 adjusted EPS</t>
  </si>
  <si>
    <t>Street EPS multiple</t>
  </si>
  <si>
    <t>Street-based price</t>
  </si>
  <si>
    <t>Own FY28 operating EPS proxy</t>
  </si>
  <si>
    <t>Own EPS multiple</t>
  </si>
  <si>
    <t>Own EPS-based price</t>
  </si>
  <si>
    <t>Rounded midpoint target</t>
  </si>
  <si>
    <t>AMD and Cadence average P/E</t>
  </si>
  <si>
    <t>Premium of street multiple</t>
  </si>
  <si>
    <t>Premium of own multiple</t>
  </si>
  <si>
    <t>Management FY31 EPS illustration</t>
  </si>
  <si>
    <t>Illustrative FY31 P/E</t>
  </si>
  <si>
    <t>Years from target to FY31 end</t>
  </si>
  <si>
    <t>Discounted FY31 earnings valuation</t>
  </si>
  <si>
    <t>Fiscal periods are not calendarized. Adjusted earnings definitions differ; peers are a valuation cross-check, not direct substitutes.</t>
  </si>
  <si>
    <t>40x-45x retains a premium for IP economics and growth. It is a judgment, not a market-implied or guaranteed exit multiple.</t>
  </si>
  <si>
    <t>The rounded target is not averaged with DCF. The own operating EPS proxy excludes non-operating gains and interest income.</t>
  </si>
  <si>
    <t>The $9 management illustration challenges the short. The company ambition is above $9; this row uses $9 for a transparent example.</t>
  </si>
  <si>
    <t>Short return</t>
  </si>
  <si>
    <t>Exit target</t>
  </si>
  <si>
    <t>Annual borrow rate</t>
  </si>
  <si>
    <t>Holding years</t>
  </si>
  <si>
    <t>Dividends paid per share</t>
  </si>
  <si>
    <t>Gross profit per share</t>
  </si>
  <si>
    <t>Borrow cost per share</t>
  </si>
  <si>
    <t>Net profit per share</t>
  </si>
  <si>
    <t>Return on initial notional</t>
  </si>
  <si>
    <t>Break-even exit price</t>
  </si>
  <si>
    <t>Initial collateral</t>
  </si>
  <si>
    <t>Simple return on collateral</t>
  </si>
  <si>
    <t>Collateral XIRR</t>
  </si>
  <si>
    <t>Date</t>
  </si>
  <si>
    <t>Cash flow ($)</t>
  </si>
  <si>
    <t>Net short return by exit price and annual borrow fee</t>
  </si>
  <si>
    <t>$125 target</t>
  </si>
  <si>
    <t>No price change</t>
  </si>
  <si>
    <t>Active-case DCF</t>
  </si>
  <si>
    <t>Bull report reference</t>
  </si>
  <si>
    <t>The bull report reference is fixed from the report, not a live second forecast. Select case 3 to see the current bull DCF.</t>
  </si>
  <si>
    <t>Collateral XIRR assumes 50% initial margin, restricted sale proceeds, quarterly fees and no margin calls. It is not a quoted broker return.</t>
  </si>
  <si>
    <t>Borrow can be recalled and repriced. Commissions, taxes, interest and rebates are excluded. Short losses are unbounded.</t>
  </si>
  <si>
    <t>An actual flat share price loses the borrow cost. Positive base-case value does not remove timing and execution risk.</t>
  </si>
  <si>
    <t>Historical</t>
  </si>
  <si>
    <t>FY2024A</t>
  </si>
  <si>
    <t>FY2025A</t>
  </si>
  <si>
    <t>FY2026A</t>
  </si>
  <si>
    <t>Q1 FY2027A</t>
  </si>
  <si>
    <t>Reported source</t>
  </si>
  <si>
    <t>S2 annual statements; S3 quarterly statements. All amounts scaled from USD millions.</t>
  </si>
  <si>
    <t>Selling general administrative</t>
  </si>
  <si>
    <t>Other operating expense</t>
  </si>
  <si>
    <t>Operating expenses</t>
  </si>
  <si>
    <t>Equity investment income / loss</t>
  </si>
  <si>
    <t>Net interest income</t>
  </si>
  <si>
    <t>Other non-operating income</t>
  </si>
  <si>
    <t>Pre-tax income</t>
  </si>
  <si>
    <t>Income tax expense / benefit</t>
  </si>
  <si>
    <t>License and other revenue</t>
  </si>
  <si>
    <t>Non-cash D&amp;A add-back</t>
  </si>
  <si>
    <t>Non-cash SBC add-back</t>
  </si>
  <si>
    <t>Cash property purchases</t>
  </si>
  <si>
    <t>Cash intangible purchases</t>
  </si>
  <si>
    <t>Intangible obligation payments</t>
  </si>
  <si>
    <t>Reported balance sheets</t>
  </si>
  <si>
    <t>31-Mar-2026</t>
  </si>
  <si>
    <t>30-Jun-2026</t>
  </si>
  <si>
    <t>S3, balance sheets pages 6-7. Book values are not fair-value estimates.</t>
  </si>
  <si>
    <t>Accounts receivable</t>
  </si>
  <si>
    <t>Current contract assets</t>
  </si>
  <si>
    <t>Prepaid and other current assets</t>
  </si>
  <si>
    <t>Property and equipment</t>
  </si>
  <si>
    <t>Finance lease ROU assets</t>
  </si>
  <si>
    <t>Goodwill</t>
  </si>
  <si>
    <t>Intangible assets</t>
  </si>
  <si>
    <t>Non-current contract assets</t>
  </si>
  <si>
    <t>Current compensation accruals</t>
  </si>
  <si>
    <t>Current contract liabilities</t>
  </si>
  <si>
    <t>Current operating leases</t>
  </si>
  <si>
    <t>Other current liabilities</t>
  </si>
  <si>
    <t>Non-current compensation accruals</t>
  </si>
  <si>
    <t>Non-current contract liabilities</t>
  </si>
  <si>
    <t>Non-current operating leases</t>
  </si>
  <si>
    <t>Ordinary share capital</t>
  </si>
  <si>
    <t>Additional paid-in capital</t>
  </si>
  <si>
    <t>Total shareholders equity</t>
  </si>
  <si>
    <t>Q1 FY2027 cash-flow reconciliation</t>
  </si>
  <si>
    <t>S3 cash-flow statement page 9. Historical withholding is not presented as an announced repurchase.</t>
  </si>
  <si>
    <t>Deferred taxes</t>
  </si>
  <si>
    <t>Investment gains adjustment</t>
  </si>
  <si>
    <t>Operating lease expense</t>
  </si>
  <si>
    <t>Other non-cash items</t>
  </si>
  <si>
    <t>Receivables change</t>
  </si>
  <si>
    <t>Contract assets change</t>
  </si>
  <si>
    <t>Other assets change</t>
  </si>
  <si>
    <t>Compensation accruals change</t>
  </si>
  <si>
    <t>Contract liabilities change</t>
  </si>
  <si>
    <t>Tax liabilities change</t>
  </si>
  <si>
    <t>Operating lease liabilities change</t>
  </si>
  <si>
    <t>Other liabilities change</t>
  </si>
  <si>
    <t>Reported CFO</t>
  </si>
  <si>
    <t>Short-term investment purchases</t>
  </si>
  <si>
    <t>Investment maturities</t>
  </si>
  <si>
    <t>Equity investment purchases</t>
  </si>
  <si>
    <t>Intangible purchases</t>
  </si>
  <si>
    <t>Equity disposals</t>
  </si>
  <si>
    <t>PPE purchases</t>
  </si>
  <si>
    <t>Other investing</t>
  </si>
  <si>
    <t>Reported investing cash flow</t>
  </si>
  <si>
    <t>Other financing</t>
  </si>
  <si>
    <t>Withholding taxes on vested shares</t>
  </si>
  <si>
    <t>Reported financing cash flow</t>
  </si>
  <si>
    <t>FX effect</t>
  </si>
  <si>
    <t>Reported cash increase</t>
  </si>
  <si>
    <t>Sources</t>
  </si>
  <si>
    <t>ARM reference close</t>
  </si>
  <si>
    <t>S6, 16 October 2026</t>
  </si>
  <si>
    <t>Research valuation date</t>
  </si>
  <si>
    <t>One-year horizon</t>
  </si>
  <si>
    <t>Opening financial date</t>
  </si>
  <si>
    <t>S3</t>
  </si>
  <si>
    <t>Eligibility date close</t>
  </si>
  <si>
    <t>S6, 29 September 2026</t>
  </si>
  <si>
    <t>Reported ordinary shares</t>
  </si>
  <si>
    <t>S3, June 2026; proxy for eligibility cap</t>
  </si>
  <si>
    <t>Q2 FY27 revenue guide midpoint</t>
  </si>
  <si>
    <t>S4</t>
  </si>
  <si>
    <t>Q2 adjusted OpEx guide</t>
  </si>
  <si>
    <t>July acquisition cash payment</t>
  </si>
  <si>
    <t>S3, Note 16</t>
  </si>
  <si>
    <t>FY28 consensus adjusted EPS</t>
  </si>
  <si>
    <t>S7</t>
  </si>
  <si>
    <t>FY28 consensus revenue</t>
  </si>
  <si>
    <t>FY27 consensus revenue</t>
  </si>
  <si>
    <t>FY27 consensus adjusted EPS</t>
  </si>
  <si>
    <t>Analyst average target</t>
  </si>
  <si>
    <t>Q1 non-GAAP OpEx</t>
  </si>
  <si>
    <t>Q1 non-GAAP operating income</t>
  </si>
  <si>
    <t>Q1 non-GAAP gross profit</t>
  </si>
  <si>
    <t>Reported group operating-profit gap</t>
  </si>
  <si>
    <t>S4, GAAP reconciliation</t>
  </si>
  <si>
    <t>Comparable observations</t>
  </si>
  <si>
    <t>Close ($)</t>
  </si>
  <si>
    <t>Forward EPS ($)</t>
  </si>
  <si>
    <t>Source</t>
  </si>
  <si>
    <t>Arm</t>
  </si>
  <si>
    <t>ARM</t>
  </si>
  <si>
    <t>AMD</t>
  </si>
  <si>
    <t>S11</t>
  </si>
  <si>
    <t>Cadence</t>
  </si>
  <si>
    <t>CDNS</t>
  </si>
  <si>
    <t>S12</t>
  </si>
  <si>
    <t>Synopsys</t>
  </si>
  <si>
    <t>SNPS</t>
  </si>
  <si>
    <t>S13</t>
  </si>
  <si>
    <t>Public sources and assumptions</t>
  </si>
  <si>
    <t>S1 Competition guidelines</t>
  </si>
  <si>
    <t>https://nanyangcapitalspc.com/guidelines</t>
  </si>
  <si>
    <t>Eligibility at Sep 29; horizon up to one year; report, appendix and 3FS Excel; team-owned analysis.</t>
  </si>
  <si>
    <t>S2 Arm FY2026 Form 20-F</t>
  </si>
  <si>
    <t>https://www.sec.gov/Archives/edgar/data/1973239/000197323926000097/arm-20260331.htm</t>
  </si>
  <si>
    <t>Income statements p127, cash flows p132-133, revenue note. Filed 26 May 2026.</t>
  </si>
  <si>
    <t>S3 Arm July 2026 Form 6-K</t>
  </si>
  <si>
    <t>https://investors.arm.com/static-files/69c13c55-810b-4de8-93b6-7cea395659ea</t>
  </si>
  <si>
    <t>June statements pp4-9; Note 2 balance detail; Note 16 DreamBig acquisition.</t>
  </si>
  <si>
    <t>S4 Q1 FY2027 shareholder letter</t>
  </si>
  <si>
    <t>https://investors.arm.com/static-files/d8db20bd-7b96-486a-b99b-23315627d1ec</t>
  </si>
  <si>
    <t>Q2 guidance, non-GAAP bridge, demand and capacity disclosure.</t>
  </si>
  <si>
    <t>S5 Arm Everywhere management transcript</t>
  </si>
  <si>
    <t>https://investors.arm.com/static-files/01d3c055-162f-4cf4-a983-5bb338aeb5e5</t>
  </si>
  <si>
    <t>24 Mar 2026; CFO FY2031 revenue ambitions and illustrative unit economics.</t>
  </si>
  <si>
    <t>S6 ARM daily price history</t>
  </si>
  <si>
    <t>https://stockanalysis.com/stocks/arm/history/</t>
  </si>
  <si>
    <t>Sep 29 and Oct 16 closing prices.</t>
  </si>
  <si>
    <t>S7 ARM public consensus</t>
  </si>
  <si>
    <t>https://stockanalysis.com/stocks/arm/forecast/</t>
  </si>
  <si>
    <t>Snapshot updated Sep 18; retrieved Oct 17. Adjusted EPS; not a live estimate feed.</t>
  </si>
  <si>
    <t>S8 OCP deployment announcements</t>
  </si>
  <si>
    <t>https://newsroom.arm.com/blog/key-takeaways-from-ocp-global-summit-2026</t>
  </si>
  <si>
    <t>Oct 15; positive counter-evidence. Company account.</t>
  </si>
  <si>
    <t>S9 Qualcomm dispute statement</t>
  </si>
  <si>
    <t>https://newsroom.arm.com/news/arm-qualcomm-legal-dispute</t>
  </si>
  <si>
    <t>Oct 13; company account of jury outcome.</t>
  </si>
  <si>
    <t>S10 Arm results calendar</t>
  </si>
  <si>
    <t>https://investors.arm.com/financials/quarterly-annual-results</t>
  </si>
  <si>
    <t>Nov 4 earnings date confirmed.</t>
  </si>
  <si>
    <t>S11 AMD estimates</t>
  </si>
  <si>
    <t>https://stockanalysis.com/stocks/amd/forecast/</t>
  </si>
  <si>
    <t>October 16 price; FY2027 adjusted EPS.</t>
  </si>
  <si>
    <t>S12 Cadence estimates</t>
  </si>
  <si>
    <t>https://stockanalysis.com/stocks/cdns/forecast/</t>
  </si>
  <si>
    <t>S13 Synopsys estimates</t>
  </si>
  <si>
    <t>https://stockanalysis.com/stocks/snps/forecast/</t>
  </si>
  <si>
    <t>Operating cases, target multiples, WACC, tax and capital intensity are analyst assumptions. No borrow quote was obtained.</t>
  </si>
  <si>
    <t>Market inputs are frozen at 16 October close to match the report. New research was checked through 18 October 2026.</t>
  </si>
  <si>
    <t>Accounting forecast simplifies lease and tax book balances. No forecast fair-value gains, acquisitions after DreamBig or FX gains.</t>
  </si>
  <si>
    <t>Checks</t>
  </si>
  <si>
    <t>Opening asset reconciliation</t>
  </si>
  <si>
    <t>Opening liability reconciliation</t>
  </si>
  <si>
    <t>Opening equity reconciliation</t>
  </si>
  <si>
    <t>Opening balance sheet</t>
  </si>
  <si>
    <t>Reported Q1 CFO detail</t>
  </si>
  <si>
    <t>Reported Q1 investing detail</t>
  </si>
  <si>
    <t>Reported Q1 financing detail</t>
  </si>
  <si>
    <t>Reported Q1 cash increase</t>
  </si>
  <si>
    <t>Reported Q1 ending cash</t>
  </si>
  <si>
    <t>FY27 revenue bridge</t>
  </si>
  <si>
    <t>FY27 operating profit bridge</t>
  </si>
  <si>
    <t>FY28 revenue bridge</t>
  </si>
  <si>
    <t>FY28 operating profit bridge</t>
  </si>
  <si>
    <t>DCF table base point</t>
  </si>
  <si>
    <t>DCF cash and statements at target</t>
  </si>
  <si>
    <t>Repurchase fraction deviation</t>
  </si>
  <si>
    <t>Economic cash flow reconciliation</t>
  </si>
  <si>
    <t>Depreciable asset roll-forward</t>
  </si>
  <si>
    <t>Cash roll-forward</t>
  </si>
  <si>
    <t>Retained earnings roll-forward</t>
  </si>
  <si>
    <t>Report reconciliation for base case</t>
  </si>
  <si>
    <t>Metric</t>
  </si>
  <si>
    <t>Workbook</t>
  </si>
  <si>
    <t>Report value</t>
  </si>
  <si>
    <t>Difference</t>
  </si>
  <si>
    <t>Basis</t>
  </si>
  <si>
    <t>FY27 revenue</t>
  </si>
  <si>
    <t>Base case only</t>
  </si>
  <si>
    <t>FY28 revenue</t>
  </si>
  <si>
    <t>FY31 revenue</t>
  </si>
  <si>
    <t>FY31 economic EBIT</t>
  </si>
  <si>
    <t>Target price</t>
  </si>
  <si>
    <t>Target-date DCF</t>
  </si>
  <si>
    <t>Net short notional return</t>
  </si>
  <si>
    <t>The fixed-multiple indication assumes rerating in every case. Active DCF and borrow table assesses bull-case losses.</t>
  </si>
  <si>
    <t xml:space="preserve">Illustration from S5. These are not disclosed ASPs or contractual royalty rates.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</si>
</sst>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;\(#,##0.000\);&quot;-&quot;"/>
    <numFmt numFmtId="165" formatCode="0.0%;\(0.0%\);&quot;-&quot;"/>
    <numFmt numFmtId="166" formatCode="dd\-mmm\-yyyy"/>
    <numFmt numFmtId="167" formatCode="\$0.00;\(\$0.00\);&quot;-&quot;"/>
    <numFmt numFmtId="168" formatCode="mmm\-yyyy"/>
    <numFmt numFmtId="169" formatCode="0.0&quot;x&quot;"/>
    <numFmt numFmtId="170" formatCode="0.000000;\(0.000000\);0.000000"/>
  </numFmts>
  <fonts count="6">
    <font>
      <sz val="11"/>
      <name val="Carlito"/>
    </font>
    <font>
      <sz val="10"/>
      <color rgb="FF222222"/>
      <name val="Arial"/>
    </font>
    <font>
      <b/>
      <sz val="15"/>
      <color rgb="FF222222"/>
      <name val="Arial"/>
    </font>
    <font>
      <b/>
      <sz val="10"/>
      <color rgb="FF222222"/>
      <name val="Arial"/>
    </font>
    <font>
      <i/>
      <sz val="10"/>
      <color rgb="FF222222"/>
      <name val="Arial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3">
    <dxf>
      <font>
        <b/>
      </font>
      <fill>
        <patternFill patternType="solid">
          <bgColor rgb="FFE2E2E2"/>
        </patternFill>
      </fill>
    </dxf>
    <dxf>
      <font>
        <b/>
      </font>
      <fill>
        <patternFill patternType="solid">
          <bgColor rgb="FFE2E2E2"/>
        </patternFill>
      </fill>
    </dxf>
    <dxf>
      <font>
        <b/>
      </font>
      <fill>
        <patternFill patternType="solid">
          <bgColor rgb="FFE2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IP and CPU revenue ($bn)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IP / total</c:v>
          </c:tx>
          <c:spPr>
            <a:solidFill>
              <a:srgbClr val="888888"/>
            </a:solidFill>
          </c:spPr>
          <c:invertIfNegative val="0"/>
          <c:cat>
            <c:strRef>
              <c:f>Summary!$H$40:$H$44</c:f>
              <c:strCache>
                <c:ptCount val="5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FY31E</c:v>
                </c:pt>
              </c:strCache>
            </c:strRef>
          </c:cat>
          <c:val>
            <c:numRef>
              <c:f>Summary!$I$40:$I$44</c:f>
              <c:numCache>
                <c:formatCode>#,##0.000;\(#,##0.000\);"-"</c:formatCode>
                <c:ptCount val="5"/>
                <c:pt idx="0">
                  <c:v>4.92</c:v>
                </c:pt>
                <c:pt idx="1">
                  <c:v>5.76</c:v>
                </c:pt>
                <c:pt idx="2">
                  <c:v>6.95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2-8B42-B48C-4C283B5458A3}"/>
            </c:ext>
          </c:extLst>
        </c:ser>
        <c:ser>
          <c:idx val="1"/>
          <c:order val="1"/>
          <c:tx>
            <c:v>CPU</c:v>
          </c:tx>
          <c:spPr>
            <a:solidFill>
              <a:srgbClr val="222222"/>
            </a:solidFill>
          </c:spPr>
          <c:invertIfNegative val="0"/>
          <c:cat>
            <c:strRef>
              <c:f>Summary!$H$40:$H$44</c:f>
              <c:strCache>
                <c:ptCount val="5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FY31E</c:v>
                </c:pt>
              </c:strCache>
            </c:strRef>
          </c:cat>
          <c:val>
            <c:numRef>
              <c:f>Summary!$J$40:$J$44</c:f>
              <c:numCache>
                <c:formatCode>#,##0.000;\(#,##0.000\);"-"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1.3</c:v>
                </c:pt>
                <c:pt idx="3">
                  <c:v>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2-8B42-B48C-4C283B545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 sz="900">
                <a:latin typeface="Arial"/>
                <a:ea typeface="Arial"/>
                <a:cs typeface="Arial"/>
              </a:rPr>
              <a:t>Illustrative gross profit per chip ($)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profit ($)</c:v>
          </c:tx>
          <c:spPr>
            <a:solidFill>
              <a:srgbClr val="888888"/>
            </a:solidFill>
          </c:spPr>
          <c:invertIfNegative val="0"/>
          <c:cat>
            <c:strRef>
              <c:f>Operating!$C$48:$C$50</c:f>
              <c:strCache>
                <c:ptCount val="3"/>
                <c:pt idx="0">
                  <c:v>IP license</c:v>
                </c:pt>
                <c:pt idx="1">
                  <c:v>CSS</c:v>
                </c:pt>
                <c:pt idx="2">
                  <c:v>Own CPU</c:v>
                </c:pt>
              </c:strCache>
            </c:strRef>
          </c:cat>
          <c:val>
            <c:numRef>
              <c:f>Operating!$F$48:$F$50</c:f>
              <c:numCache>
                <c:formatCode>#,##0.000;\(#,##0.000\);"-"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A-D04E-ABFB-8187CFED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4"/>
  <sheetViews>
    <sheetView showGridLines="0" workbookViewId="0">
      <pane xSplit="4" ySplit="7" topLeftCell="E19" activePane="bottomRight" state="frozen"/>
      <selection pane="topRight"/>
      <selection pane="bottomLeft"/>
      <selection pane="bottomRight" activeCell="H25" sqref="H25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8" width="13" customWidth="1"/>
    <col min="9" max="9" width="16" customWidth="1"/>
    <col min="10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0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</row>
    <row r="8" spans="1:22" ht="20" customHeight="1">
      <c r="A8" s="1"/>
      <c r="B8" s="1"/>
      <c r="C8" s="1" t="s">
        <v>3</v>
      </c>
      <c r="D8" s="1"/>
      <c r="E8" s="17">
        <f>Assumptions!E8</f>
        <v>227.8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</row>
    <row r="9" spans="1:22" ht="20" customHeight="1">
      <c r="A9" s="1"/>
      <c r="B9" s="1"/>
      <c r="C9" s="1" t="str">
        <f>IF(Assumptions!E5=2,"12-month trading target","Fixed-multiple price indication")</f>
        <v>12-month trading target</v>
      </c>
      <c r="D9" s="1"/>
      <c r="E9" s="17">
        <f>Comps!E23</f>
        <v>125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</row>
    <row r="10" spans="1:22" ht="20" customHeight="1">
      <c r="A10" s="1"/>
      <c r="B10" s="1"/>
      <c r="C10" s="1" t="s">
        <v>4</v>
      </c>
      <c r="D10" s="1"/>
      <c r="E10" s="16">
        <f>Comps!E24</f>
        <v>0.4512730465320457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</row>
    <row r="11" spans="1:22" ht="20" customHeight="1">
      <c r="A11" s="1"/>
      <c r="B11" s="1"/>
      <c r="C11" s="1" t="s">
        <v>5</v>
      </c>
      <c r="D11" s="1"/>
      <c r="E11" s="16">
        <f>'Short return'!E16</f>
        <v>0.39127304653204564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</row>
    <row r="12" spans="1:22" ht="20" customHeight="1">
      <c r="A12" s="1"/>
      <c r="B12" s="1"/>
      <c r="C12" s="1" t="s">
        <v>6</v>
      </c>
      <c r="D12" s="1"/>
      <c r="E12" s="16">
        <f>'Short return'!E20</f>
        <v>0.75259844064712533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</row>
    <row r="13" spans="1:22" ht="20" customHeight="1">
      <c r="A13" s="1"/>
      <c r="B13" s="1"/>
      <c r="C13" s="1"/>
      <c r="D13" s="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</row>
    <row r="14" spans="1:22" ht="20" customHeight="1">
      <c r="A14" s="1"/>
      <c r="B14" s="1"/>
      <c r="C14" s="1" t="s">
        <v>7</v>
      </c>
      <c r="D14" s="1"/>
      <c r="E14" s="17">
        <f>DCF!E46</f>
        <v>80.779177236354826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</row>
    <row r="15" spans="1:22" ht="20" customHeight="1">
      <c r="A15" s="1"/>
      <c r="B15" s="1"/>
      <c r="C15" s="1" t="s">
        <v>8</v>
      </c>
      <c r="D15" s="1"/>
      <c r="E15" s="17">
        <f>DCF!E53</f>
        <v>89.634135366966802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</row>
    <row r="16" spans="1:22" ht="20" customHeight="1">
      <c r="A16" s="1"/>
      <c r="B16" s="1"/>
      <c r="C16" s="1" t="s">
        <v>9</v>
      </c>
      <c r="D16" s="1"/>
      <c r="E16" s="16">
        <f>DCF!E54</f>
        <v>0.66815427805778327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</row>
    <row r="17" spans="1:22" ht="20" customHeight="1">
      <c r="A17" s="1"/>
      <c r="B17" s="1"/>
      <c r="C17" s="1"/>
      <c r="D17" s="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</row>
    <row r="18" spans="1:22" ht="20" customHeight="1">
      <c r="A18" s="1"/>
      <c r="B18" s="1"/>
      <c r="C18" s="1" t="s">
        <v>10</v>
      </c>
      <c r="D18" s="1"/>
      <c r="E18" s="18">
        <f>Assumptions!E9</f>
        <v>46311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</row>
    <row r="19" spans="1:22" ht="20" customHeight="1">
      <c r="A19" s="1"/>
      <c r="B19" s="1"/>
      <c r="C19" s="1" t="s">
        <v>11</v>
      </c>
      <c r="D19" s="1"/>
      <c r="E19" s="18">
        <f>Assumptions!E10</f>
        <v>46676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</row>
    <row r="20" spans="1:22" ht="20" customHeight="1">
      <c r="A20" s="1"/>
      <c r="B20" s="1"/>
      <c r="C20" s="1" t="s">
        <v>12</v>
      </c>
      <c r="D20" s="1"/>
      <c r="E20" s="15">
        <f>Sources!E12*Sources!E13</f>
        <v>313.63956000000002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</row>
    <row r="21" spans="1:22" ht="20" customHeight="1">
      <c r="A21" s="1"/>
      <c r="B21" s="1"/>
      <c r="C21" s="1" t="s">
        <v>13</v>
      </c>
      <c r="D21" s="1"/>
      <c r="E21" s="15">
        <f>DCF!E57</f>
        <v>2.9285866389259541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</row>
    <row r="22" spans="1:22" ht="20" customHeight="1">
      <c r="A22" s="1"/>
      <c r="B22" s="1"/>
      <c r="C22" s="1"/>
      <c r="D22" s="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</row>
    <row r="23" spans="1:22" ht="20" customHeight="1">
      <c r="A23" s="1"/>
      <c r="B23" s="1"/>
      <c r="C23" s="1" t="s">
        <v>14</v>
      </c>
      <c r="D23" s="1"/>
      <c r="E23" s="16">
        <f>1-DCF!E53/Assumptions!E8-Assumptions!E19*'Short return'!E11-'Short return'!E12/Assumptions!E8</f>
        <v>0.54652267178680058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</row>
    <row r="24" spans="1:22" ht="21" customHeight="1">
      <c r="A24" s="1"/>
      <c r="B24" s="1"/>
      <c r="C24" s="1" t="s">
        <v>15</v>
      </c>
      <c r="D24" s="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</row>
    <row r="25" spans="1:22" ht="21" customHeight="1">
      <c r="A25" s="1"/>
      <c r="B25" s="1"/>
      <c r="C25" s="1" t="s">
        <v>16</v>
      </c>
      <c r="D25" s="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</row>
    <row r="26" spans="1:22" ht="21" customHeight="1">
      <c r="A26" s="1"/>
      <c r="B26" s="1"/>
      <c r="C26" s="1" t="s">
        <v>17</v>
      </c>
      <c r="D26" s="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</row>
    <row r="27" spans="1:22" ht="21" customHeight="1">
      <c r="A27" s="1"/>
      <c r="B27" s="1"/>
      <c r="C27" s="22" t="s">
        <v>497</v>
      </c>
      <c r="D27" s="1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</row>
    <row r="28" spans="1:22" ht="20" customHeight="1">
      <c r="A28" s="1"/>
      <c r="B28" s="1"/>
      <c r="C28" s="1"/>
      <c r="D28" s="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</row>
    <row r="29" spans="1:22" ht="20" customHeight="1">
      <c r="A29" s="1"/>
      <c r="B29" s="1"/>
      <c r="C29" s="7" t="s">
        <v>18</v>
      </c>
      <c r="D29" s="7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5"/>
      <c r="Q29" s="15"/>
      <c r="R29" s="15"/>
      <c r="S29" s="15"/>
      <c r="T29" s="15"/>
      <c r="U29" s="1"/>
      <c r="V29" s="1"/>
    </row>
    <row r="30" spans="1:22" ht="20" customHeight="1">
      <c r="A30" s="1"/>
      <c r="B30" s="1"/>
      <c r="C30" s="1"/>
      <c r="D30" s="1"/>
      <c r="E30" s="14" t="s">
        <v>19</v>
      </c>
      <c r="F30" s="14" t="s">
        <v>20</v>
      </c>
      <c r="G30" s="14" t="s">
        <v>21</v>
      </c>
      <c r="H30" s="14" t="s">
        <v>22</v>
      </c>
      <c r="I30" s="14" t="s">
        <v>23</v>
      </c>
      <c r="J30" s="14" t="s">
        <v>24</v>
      </c>
      <c r="K30" s="14" t="s">
        <v>25</v>
      </c>
      <c r="L30" s="14" t="s">
        <v>26</v>
      </c>
      <c r="M30" s="14" t="s">
        <v>27</v>
      </c>
      <c r="N30" s="14" t="s">
        <v>28</v>
      </c>
      <c r="O30" s="15"/>
      <c r="P30" s="15"/>
      <c r="Q30" s="15"/>
      <c r="R30" s="15"/>
      <c r="S30" s="15"/>
      <c r="T30" s="15"/>
      <c r="U30" s="1"/>
      <c r="V30" s="1"/>
    </row>
    <row r="31" spans="1:22" ht="20" customHeight="1">
      <c r="A31" s="1"/>
      <c r="B31" s="1"/>
      <c r="C31" s="1" t="s">
        <v>29</v>
      </c>
      <c r="D31" s="1"/>
      <c r="E31" s="15">
        <f>Operating!E13</f>
        <v>6.06</v>
      </c>
      <c r="F31" s="15">
        <f>Operating!F13</f>
        <v>8.25</v>
      </c>
      <c r="G31" s="15">
        <f>Operating!G13</f>
        <v>12</v>
      </c>
      <c r="H31" s="15">
        <f>Operating!H13</f>
        <v>18</v>
      </c>
      <c r="I31" s="15">
        <f>Operating!I13</f>
        <v>25</v>
      </c>
      <c r="J31" s="15">
        <f>Operating!J13</f>
        <v>30.1</v>
      </c>
      <c r="K31" s="15">
        <f>Operating!K13</f>
        <v>34.200000000000003</v>
      </c>
      <c r="L31" s="15">
        <f>Operating!L13</f>
        <v>38.299999999999997</v>
      </c>
      <c r="M31" s="15">
        <f>Operating!M13</f>
        <v>42.4</v>
      </c>
      <c r="N31" s="15">
        <f>Operating!N13</f>
        <v>46.5</v>
      </c>
      <c r="O31" s="15"/>
      <c r="P31" s="15"/>
      <c r="Q31" s="15"/>
      <c r="R31" s="15"/>
      <c r="S31" s="15"/>
      <c r="T31" s="15"/>
      <c r="U31" s="1"/>
      <c r="V31" s="1"/>
    </row>
    <row r="32" spans="1:22" ht="20" customHeight="1">
      <c r="A32" s="1"/>
      <c r="B32" s="1"/>
      <c r="C32" s="1" t="s">
        <v>30</v>
      </c>
      <c r="D32" s="1"/>
      <c r="E32" s="15">
        <f>Operating!E26</f>
        <v>1.0318000000000005</v>
      </c>
      <c r="F32" s="15">
        <f>Operating!F26</f>
        <v>2.0910000000000002</v>
      </c>
      <c r="G32" s="15">
        <f>Operating!G26</f>
        <v>3.76</v>
      </c>
      <c r="H32" s="15">
        <f>Operating!H26</f>
        <v>6.4979999999999984</v>
      </c>
      <c r="I32" s="15">
        <f>Operating!I26</f>
        <v>9</v>
      </c>
      <c r="J32" s="15">
        <f>Operating!J26</f>
        <v>10.978</v>
      </c>
      <c r="K32" s="15">
        <f>Operating!K26</f>
        <v>12.555999999999999</v>
      </c>
      <c r="L32" s="15">
        <f>Operating!L26</f>
        <v>14.133999999999999</v>
      </c>
      <c r="M32" s="15">
        <f>Operating!M26</f>
        <v>15.712000000000003</v>
      </c>
      <c r="N32" s="15">
        <f>Operating!N26</f>
        <v>17.29</v>
      </c>
      <c r="O32" s="15"/>
      <c r="P32" s="15"/>
      <c r="Q32" s="15"/>
      <c r="R32" s="15"/>
      <c r="S32" s="15"/>
      <c r="T32" s="15"/>
      <c r="U32" s="1"/>
      <c r="V32" s="1"/>
    </row>
    <row r="33" spans="1:22" ht="20" customHeight="1">
      <c r="A33" s="1"/>
      <c r="B33" s="1"/>
      <c r="C33" s="1" t="s">
        <v>31</v>
      </c>
      <c r="D33" s="1"/>
      <c r="E33" s="17">
        <f>Operating!E32</f>
        <v>1.9222925925925929</v>
      </c>
      <c r="F33" s="17">
        <f>Operating!F32</f>
        <v>2.8403888888888891</v>
      </c>
      <c r="G33" s="17">
        <f>Operating!G32</f>
        <v>4.2214814814814812</v>
      </c>
      <c r="H33" s="17">
        <f>Operating!H32</f>
        <v>6.4142222222222207</v>
      </c>
      <c r="I33" s="17">
        <f>Operating!I32</f>
        <v>8.351851851851853</v>
      </c>
      <c r="J33" s="17">
        <f>Operating!J32</f>
        <v>10.005518518518519</v>
      </c>
      <c r="K33" s="17">
        <f>Operating!K32</f>
        <v>11.355481481481482</v>
      </c>
      <c r="L33" s="17">
        <f>Operating!L32</f>
        <v>12.705444444444442</v>
      </c>
      <c r="M33" s="17">
        <f>Operating!M32</f>
        <v>14.055407407407408</v>
      </c>
      <c r="N33" s="17">
        <f>Operating!N32</f>
        <v>15.405370370370372</v>
      </c>
      <c r="O33" s="15"/>
      <c r="P33" s="15"/>
      <c r="Q33" s="15"/>
      <c r="R33" s="15"/>
      <c r="S33" s="15"/>
      <c r="T33" s="15"/>
      <c r="U33" s="1"/>
      <c r="V33" s="1"/>
    </row>
    <row r="34" spans="1:22" ht="20" customHeight="1">
      <c r="A34" s="1"/>
      <c r="B34" s="1"/>
      <c r="C34" s="1" t="s">
        <v>32</v>
      </c>
      <c r="D34" s="1"/>
      <c r="E34" s="15">
        <f>Statements!E99</f>
        <v>2.2544051818181821</v>
      </c>
      <c r="F34" s="15">
        <f>Statements!F99</f>
        <v>2.8876539999999999</v>
      </c>
      <c r="G34" s="15">
        <f>Statements!G99</f>
        <v>4.4473818181818174</v>
      </c>
      <c r="H34" s="15">
        <f>Statements!H99</f>
        <v>6.3684736363636354</v>
      </c>
      <c r="I34" s="15">
        <f>Statements!I99</f>
        <v>8.5390909090909091</v>
      </c>
      <c r="J34" s="15">
        <f>Statements!J99</f>
        <v>10.90096</v>
      </c>
      <c r="K34" s="15">
        <f>Statements!K99</f>
        <v>12.714829090909088</v>
      </c>
      <c r="L34" s="15">
        <f>Statements!L99</f>
        <v>14.328698181818185</v>
      </c>
      <c r="M34" s="15">
        <f>Statements!M99</f>
        <v>15.942567272727272</v>
      </c>
      <c r="N34" s="15">
        <f>Statements!N99</f>
        <v>17.556436363636365</v>
      </c>
      <c r="O34" s="15"/>
      <c r="P34" s="15"/>
      <c r="Q34" s="15"/>
      <c r="R34" s="15"/>
      <c r="S34" s="15"/>
      <c r="T34" s="15"/>
      <c r="U34" s="1"/>
      <c r="V34" s="1"/>
    </row>
    <row r="35" spans="1:22" ht="20" customHeight="1">
      <c r="A35" s="1"/>
      <c r="B35" s="1"/>
      <c r="C35" s="1" t="s">
        <v>33</v>
      </c>
      <c r="D35" s="1"/>
      <c r="E35" s="15">
        <f>Statements!E104</f>
        <v>2.9288319999999999</v>
      </c>
      <c r="F35" s="15">
        <f>Statements!F104</f>
        <v>3.8702359999999998</v>
      </c>
      <c r="G35" s="15">
        <f>Statements!G104</f>
        <v>5.9544359999999994</v>
      </c>
      <c r="H35" s="15">
        <f>Statements!H104</f>
        <v>9.3627959999999995</v>
      </c>
      <c r="I35" s="15">
        <f>Statements!I104</f>
        <v>14.342796</v>
      </c>
      <c r="J35" s="15">
        <f>Statements!J104</f>
        <v>21.120756</v>
      </c>
      <c r="K35" s="15">
        <f>Statements!K104</f>
        <v>29.228675999999997</v>
      </c>
      <c r="L35" s="15">
        <f>Statements!L104</f>
        <v>38.466555999999997</v>
      </c>
      <c r="M35" s="15">
        <f>Statements!M104</f>
        <v>48.834395999999998</v>
      </c>
      <c r="N35" s="15">
        <f>Statements!N104</f>
        <v>60.332195999999996</v>
      </c>
      <c r="O35" s="15"/>
      <c r="P35" s="15"/>
      <c r="Q35" s="15"/>
      <c r="R35" s="15"/>
      <c r="S35" s="15"/>
      <c r="T35" s="15"/>
      <c r="U35" s="1"/>
      <c r="V35" s="1"/>
    </row>
    <row r="36" spans="1:22" ht="20" customHeight="1">
      <c r="A36" s="1"/>
      <c r="B36" s="1"/>
      <c r="C36" s="1"/>
      <c r="D36" s="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"/>
      <c r="V36" s="1"/>
    </row>
    <row r="37" spans="1:22" ht="20" customHeight="1">
      <c r="A37" s="1"/>
      <c r="B37" s="1"/>
      <c r="C37" s="1"/>
      <c r="D37" s="1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"/>
      <c r="V37" s="1"/>
    </row>
    <row r="38" spans="1:22" ht="20" customHeight="1">
      <c r="A38" s="1"/>
      <c r="B38" s="1"/>
      <c r="C38" s="1"/>
      <c r="D38" s="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"/>
      <c r="V38" s="1"/>
    </row>
    <row r="39" spans="1:22" ht="20" customHeight="1">
      <c r="A39" s="1"/>
      <c r="B39" s="1"/>
      <c r="C39" s="1"/>
      <c r="D39" s="1"/>
      <c r="E39" s="15"/>
      <c r="F39" s="15"/>
      <c r="G39" s="15"/>
      <c r="H39" s="14" t="s">
        <v>34</v>
      </c>
      <c r="I39" s="14" t="s">
        <v>35</v>
      </c>
      <c r="J39" s="14" t="s">
        <v>36</v>
      </c>
      <c r="K39" s="14" t="s">
        <v>29</v>
      </c>
      <c r="L39" s="15"/>
      <c r="M39" s="15"/>
      <c r="N39" s="15"/>
      <c r="O39" s="15"/>
      <c r="P39" s="15"/>
      <c r="Q39" s="15"/>
      <c r="R39" s="15"/>
      <c r="S39" s="15"/>
      <c r="T39" s="15"/>
      <c r="U39" s="1"/>
      <c r="V39" s="1"/>
    </row>
    <row r="40" spans="1:22" ht="20" customHeight="1">
      <c r="A40" s="1"/>
      <c r="B40" s="1"/>
      <c r="C40" s="1"/>
      <c r="D40" s="1"/>
      <c r="E40" s="15"/>
      <c r="F40" s="15"/>
      <c r="G40" s="15"/>
      <c r="H40" s="15" t="s">
        <v>37</v>
      </c>
      <c r="I40" s="15">
        <f>Historical!G9</f>
        <v>4.92</v>
      </c>
      <c r="J40" s="15">
        <v>0</v>
      </c>
      <c r="K40" s="15">
        <f>SUM(I40:J40)</f>
        <v>4.92</v>
      </c>
      <c r="L40" s="15"/>
      <c r="M40" s="15"/>
      <c r="N40" s="15"/>
      <c r="O40" s="15"/>
      <c r="P40" s="15"/>
      <c r="Q40" s="15"/>
      <c r="R40" s="15"/>
      <c r="S40" s="15"/>
      <c r="T40" s="15"/>
      <c r="U40" s="1"/>
      <c r="V40" s="1"/>
    </row>
    <row r="41" spans="1:22" ht="20" customHeight="1">
      <c r="A41" s="1"/>
      <c r="B41" s="1"/>
      <c r="C41" s="1"/>
      <c r="D41" s="1"/>
      <c r="E41" s="15"/>
      <c r="F41" s="15"/>
      <c r="G41" s="15"/>
      <c r="H41" s="15" t="s">
        <v>38</v>
      </c>
      <c r="I41" s="15">
        <f>Operating!E11</f>
        <v>5.76</v>
      </c>
      <c r="J41" s="15">
        <f>Operating!E12</f>
        <v>0.3</v>
      </c>
      <c r="K41" s="15">
        <f>SUM(I41:J41)</f>
        <v>6.06</v>
      </c>
      <c r="L41" s="15"/>
      <c r="M41" s="15"/>
      <c r="N41" s="15"/>
      <c r="O41" s="15"/>
      <c r="P41" s="15"/>
      <c r="Q41" s="15"/>
      <c r="R41" s="15"/>
      <c r="S41" s="15"/>
      <c r="T41" s="15"/>
      <c r="U41" s="1"/>
      <c r="V41" s="1"/>
    </row>
    <row r="42" spans="1:22" ht="20" customHeight="1">
      <c r="A42" s="1"/>
      <c r="B42" s="1"/>
      <c r="C42" s="1"/>
      <c r="D42" s="1"/>
      <c r="E42" s="15"/>
      <c r="F42" s="15"/>
      <c r="G42" s="15"/>
      <c r="H42" s="15" t="s">
        <v>39</v>
      </c>
      <c r="I42" s="15">
        <f>Operating!F11</f>
        <v>6.95</v>
      </c>
      <c r="J42" s="15">
        <f>Operating!F12</f>
        <v>1.3</v>
      </c>
      <c r="K42" s="15">
        <f>SUM(I42:J42)</f>
        <v>8.25</v>
      </c>
      <c r="L42" s="15"/>
      <c r="M42" s="15"/>
      <c r="N42" s="15"/>
      <c r="O42" s="15"/>
      <c r="P42" s="15"/>
      <c r="Q42" s="15"/>
      <c r="R42" s="15"/>
      <c r="S42" s="15"/>
      <c r="T42" s="15"/>
      <c r="U42" s="1"/>
      <c r="V42" s="1"/>
    </row>
    <row r="43" spans="1:22" ht="20" customHeight="1">
      <c r="A43" s="1"/>
      <c r="B43" s="1"/>
      <c r="C43" s="1"/>
      <c r="D43" s="1"/>
      <c r="E43" s="15"/>
      <c r="F43" s="15"/>
      <c r="G43" s="15"/>
      <c r="H43" s="15" t="s">
        <v>40</v>
      </c>
      <c r="I43" s="15">
        <f>Operating!G11</f>
        <v>8</v>
      </c>
      <c r="J43" s="15">
        <f>Operating!G12</f>
        <v>4</v>
      </c>
      <c r="K43" s="15">
        <f>SUM(I43:J43)</f>
        <v>12</v>
      </c>
      <c r="L43" s="15"/>
      <c r="M43" s="15"/>
      <c r="N43" s="15"/>
      <c r="O43" s="15"/>
      <c r="P43" s="15"/>
      <c r="Q43" s="15"/>
      <c r="R43" s="15"/>
      <c r="S43" s="15"/>
      <c r="T43" s="15"/>
      <c r="U43" s="1"/>
      <c r="V43" s="1"/>
    </row>
    <row r="44" spans="1:22" ht="20" customHeight="1">
      <c r="A44" s="1"/>
      <c r="B44" s="1"/>
      <c r="C44" s="1"/>
      <c r="D44" s="1"/>
      <c r="E44" s="15"/>
      <c r="F44" s="15"/>
      <c r="G44" s="15"/>
      <c r="H44" s="15" t="s">
        <v>41</v>
      </c>
      <c r="I44" s="15">
        <f>Operating!I11</f>
        <v>10</v>
      </c>
      <c r="J44" s="15">
        <f>Operating!I12</f>
        <v>15</v>
      </c>
      <c r="K44" s="15">
        <f>SUM(I44:J44)</f>
        <v>25</v>
      </c>
      <c r="L44" s="15"/>
      <c r="M44" s="15"/>
      <c r="N44" s="15"/>
      <c r="O44" s="15"/>
      <c r="P44" s="15"/>
      <c r="Q44" s="15"/>
      <c r="R44" s="15"/>
      <c r="S44" s="15"/>
      <c r="T44" s="15"/>
      <c r="U44" s="1"/>
      <c r="V44" s="1"/>
    </row>
    <row r="45" spans="1:22" ht="20" customHeight="1">
      <c r="A45" s="1"/>
      <c r="B45" s="1"/>
      <c r="C45" s="1"/>
      <c r="D45" s="1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"/>
      <c r="V45" s="1"/>
    </row>
    <row r="46" spans="1:22" ht="20" customHeight="1">
      <c r="A46" s="1"/>
      <c r="B46" s="1"/>
      <c r="C46" s="1"/>
      <c r="D46" s="1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"/>
      <c r="V46" s="1"/>
    </row>
    <row r="47" spans="1:22" ht="20" customHeight="1">
      <c r="A47" s="1"/>
      <c r="B47" s="1"/>
      <c r="C47" s="1"/>
      <c r="D47" s="1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"/>
      <c r="V47" s="1"/>
    </row>
    <row r="48" spans="1:22" ht="20" customHeight="1">
      <c r="A48" s="1"/>
      <c r="B48" s="1"/>
      <c r="C48" s="1"/>
      <c r="D48" s="1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"/>
      <c r="V48" s="1"/>
    </row>
    <row r="49" spans="1:22" ht="20" customHeight="1">
      <c r="A49" s="1"/>
      <c r="B49" s="1"/>
      <c r="C49" s="1"/>
      <c r="D49" s="1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"/>
      <c r="V49" s="1"/>
    </row>
    <row r="50" spans="1:22" ht="20" customHeight="1">
      <c r="A50" s="1"/>
      <c r="B50" s="1"/>
      <c r="C50" s="1"/>
      <c r="D50" s="1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"/>
      <c r="V50" s="1"/>
    </row>
    <row r="51" spans="1:22" ht="20" customHeight="1">
      <c r="A51" s="1"/>
      <c r="B51" s="1"/>
      <c r="C51" s="1"/>
      <c r="D51" s="1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"/>
      <c r="V51" s="1"/>
    </row>
    <row r="52" spans="1:22" ht="20" customHeight="1">
      <c r="A52" s="1"/>
      <c r="B52" s="1"/>
      <c r="C52" s="1"/>
      <c r="D52" s="1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"/>
      <c r="V52" s="1"/>
    </row>
    <row r="53" spans="1:22" ht="20" customHeight="1">
      <c r="A53" s="1"/>
      <c r="B53" s="1"/>
      <c r="C53" s="1"/>
      <c r="D53" s="1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"/>
      <c r="V53" s="1"/>
    </row>
    <row r="54" spans="1:22" ht="20" customHeight="1">
      <c r="A54" s="1"/>
      <c r="B54" s="1"/>
      <c r="C54" s="1"/>
      <c r="D54" s="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"/>
      <c r="V54" s="1"/>
    </row>
    <row r="55" spans="1:22" ht="20" customHeight="1">
      <c r="A55" s="1"/>
      <c r="B55" s="1"/>
      <c r="C55" s="1"/>
      <c r="D55" s="1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"/>
      <c r="V55" s="1"/>
    </row>
    <row r="56" spans="1:22" ht="20" customHeight="1">
      <c r="A56" s="1"/>
      <c r="B56" s="1"/>
      <c r="C56" s="1"/>
      <c r="D56" s="1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"/>
      <c r="V56" s="1"/>
    </row>
    <row r="57" spans="1:22" ht="20" customHeight="1">
      <c r="A57" s="1"/>
      <c r="B57" s="1"/>
      <c r="C57" s="1"/>
      <c r="D57" s="1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"/>
      <c r="V57" s="1"/>
    </row>
    <row r="58" spans="1:22" ht="20" customHeight="1">
      <c r="A58" s="1"/>
      <c r="B58" s="1"/>
      <c r="C58" s="1"/>
      <c r="D58" s="1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"/>
      <c r="V58" s="1"/>
    </row>
    <row r="59" spans="1:22" ht="20" customHeight="1">
      <c r="A59" s="1"/>
      <c r="B59" s="1"/>
      <c r="C59" s="1"/>
      <c r="D59" s="1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"/>
      <c r="V59" s="1"/>
    </row>
    <row r="60" spans="1:22" ht="20" customHeight="1">
      <c r="A60" s="1"/>
      <c r="B60" s="1"/>
      <c r="C60" s="1"/>
      <c r="D60" s="1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"/>
      <c r="V60" s="1"/>
    </row>
    <row r="61" spans="1:22" ht="20" customHeight="1">
      <c r="A61" s="1"/>
      <c r="B61" s="1"/>
      <c r="C61" s="1"/>
      <c r="D61" s="1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"/>
      <c r="V61" s="1"/>
    </row>
    <row r="62" spans="1:22" ht="20" customHeight="1">
      <c r="A62" s="1"/>
      <c r="B62" s="1"/>
      <c r="C62" s="1"/>
      <c r="D62" s="1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"/>
      <c r="V62" s="1"/>
    </row>
    <row r="63" spans="1:22" ht="20" customHeight="1">
      <c r="A63" s="1"/>
      <c r="B63" s="1"/>
      <c r="C63" s="1"/>
      <c r="D63" s="1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"/>
      <c r="V63" s="1"/>
    </row>
    <row r="64" spans="1:22" ht="20" customHeight="1">
      <c r="A64" s="1"/>
      <c r="B64" s="1"/>
      <c r="C64" s="1"/>
      <c r="D64" s="1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"/>
      <c r="V64" s="1"/>
    </row>
    <row r="65" spans="1:22" ht="20" customHeight="1">
      <c r="A65" s="1"/>
      <c r="B65" s="1"/>
      <c r="C65" s="1"/>
      <c r="D65" s="1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"/>
      <c r="V65" s="1"/>
    </row>
    <row r="66" spans="1:22" ht="20" customHeight="1">
      <c r="A66" s="1"/>
      <c r="B66" s="1"/>
      <c r="C66" s="1"/>
      <c r="D66" s="1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"/>
      <c r="V66" s="1"/>
    </row>
    <row r="67" spans="1:22" ht="20" customHeight="1">
      <c r="A67" s="1"/>
      <c r="B67" s="1"/>
      <c r="C67" s="1"/>
      <c r="D67" s="1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"/>
      <c r="V67" s="1"/>
    </row>
    <row r="68" spans="1:22" ht="20" customHeight="1">
      <c r="A68" s="1"/>
      <c r="B68" s="1"/>
      <c r="C68" s="1"/>
      <c r="D68" s="1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"/>
      <c r="V68" s="1"/>
    </row>
    <row r="69" spans="1:22" ht="20" customHeight="1">
      <c r="A69" s="1"/>
      <c r="B69" s="1"/>
      <c r="C69" s="1"/>
      <c r="D69" s="1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"/>
      <c r="V69" s="1"/>
    </row>
    <row r="70" spans="1:22" ht="20" customHeight="1">
      <c r="A70" s="1"/>
      <c r="B70" s="1"/>
      <c r="C70" s="1"/>
      <c r="D70" s="1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"/>
      <c r="V70" s="1"/>
    </row>
    <row r="71" spans="1:22" ht="20" customHeight="1">
      <c r="A71" s="1"/>
      <c r="B71" s="1"/>
      <c r="C71" s="1"/>
      <c r="D71" s="1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"/>
      <c r="V71" s="1"/>
    </row>
    <row r="72" spans="1:22" ht="20" customHeight="1">
      <c r="A72" s="1"/>
      <c r="B72" s="1"/>
      <c r="C72" s="1"/>
      <c r="D72" s="1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"/>
      <c r="V72" s="1"/>
    </row>
    <row r="73" spans="1:22" ht="20" customHeight="1">
      <c r="A73" s="1"/>
      <c r="B73" s="1"/>
      <c r="C73" s="1"/>
      <c r="D73" s="1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"/>
      <c r="V73" s="1"/>
    </row>
    <row r="74" spans="1:22" ht="20" customHeight="1">
      <c r="A74" s="1"/>
      <c r="B74" s="1"/>
      <c r="C74" s="1"/>
      <c r="D74" s="1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"/>
      <c r="V74" s="1"/>
    </row>
    <row r="75" spans="1:22" ht="20" customHeight="1">
      <c r="A75" s="1"/>
      <c r="B75" s="1"/>
      <c r="C75" s="1"/>
      <c r="D75" s="1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"/>
      <c r="V75" s="1"/>
    </row>
    <row r="76" spans="1:22" ht="20" customHeight="1">
      <c r="A76" s="1"/>
      <c r="B76" s="1"/>
      <c r="C76" s="1"/>
      <c r="D76" s="1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"/>
      <c r="V76" s="1"/>
    </row>
    <row r="77" spans="1:22" ht="20" customHeight="1">
      <c r="A77" s="1"/>
      <c r="B77" s="1"/>
      <c r="C77" s="1"/>
      <c r="D77" s="1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"/>
      <c r="V77" s="1"/>
    </row>
    <row r="78" spans="1:22" ht="20" customHeight="1">
      <c r="A78" s="1"/>
      <c r="B78" s="1"/>
      <c r="C78" s="1"/>
      <c r="D78" s="1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"/>
      <c r="V78" s="1"/>
    </row>
    <row r="79" spans="1:22" ht="20" customHeight="1">
      <c r="A79" s="1"/>
      <c r="B79" s="1"/>
      <c r="C79" s="1"/>
      <c r="D79" s="1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"/>
      <c r="V79" s="1"/>
    </row>
    <row r="80" spans="1:22" ht="20" customHeight="1">
      <c r="A80" s="1"/>
      <c r="B80" s="1"/>
      <c r="C80" s="1"/>
      <c r="D80" s="1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"/>
      <c r="V80" s="1"/>
    </row>
    <row r="81" spans="1:22" ht="20" customHeight="1">
      <c r="A81" s="1"/>
      <c r="B81" s="1"/>
      <c r="C81" s="1"/>
      <c r="D81" s="1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"/>
      <c r="V81" s="1"/>
    </row>
    <row r="82" spans="1:22" ht="20" customHeight="1">
      <c r="A82" s="1"/>
      <c r="B82" s="1"/>
      <c r="C82" s="1"/>
      <c r="D82" s="1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"/>
      <c r="V82" s="1"/>
    </row>
    <row r="83" spans="1:22" ht="20" customHeight="1">
      <c r="A83" s="1"/>
      <c r="B83" s="1"/>
      <c r="C83" s="1"/>
      <c r="D83" s="1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"/>
      <c r="V83" s="1"/>
    </row>
    <row r="84" spans="1:22" ht="20" customHeight="1">
      <c r="A84" s="1"/>
      <c r="B84" s="1"/>
      <c r="C84" s="1"/>
      <c r="D84" s="1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"/>
      <c r="V84" s="1"/>
    </row>
    <row r="85" spans="1:22" ht="20" customHeight="1">
      <c r="A85" s="1"/>
      <c r="B85" s="1"/>
      <c r="C85" s="1"/>
      <c r="D85" s="1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"/>
      <c r="V85" s="1"/>
    </row>
    <row r="86" spans="1:22" ht="20" customHeight="1">
      <c r="A86" s="1"/>
      <c r="B86" s="1"/>
      <c r="C86" s="1"/>
      <c r="D86" s="1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"/>
      <c r="V86" s="1"/>
    </row>
    <row r="87" spans="1:22" ht="20" customHeight="1">
      <c r="A87" s="1"/>
      <c r="B87" s="1"/>
      <c r="C87" s="1"/>
      <c r="D87" s="1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"/>
      <c r="V87" s="1"/>
    </row>
    <row r="88" spans="1:22" ht="20" customHeight="1">
      <c r="A88" s="1"/>
      <c r="B88" s="1"/>
      <c r="C88" s="1"/>
      <c r="D88" s="1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"/>
      <c r="V88" s="1"/>
    </row>
    <row r="89" spans="1:22" ht="20" customHeight="1">
      <c r="A89" s="1"/>
      <c r="B89" s="1"/>
      <c r="C89" s="1"/>
      <c r="D89" s="1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"/>
      <c r="V89" s="1"/>
    </row>
    <row r="90" spans="1:22" ht="20" customHeight="1">
      <c r="A90" s="1"/>
      <c r="B90" s="1"/>
      <c r="C90" s="1"/>
      <c r="D90" s="1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"/>
      <c r="V90" s="1"/>
    </row>
    <row r="91" spans="1:22" ht="20" customHeight="1">
      <c r="A91" s="1"/>
      <c r="B91" s="1"/>
      <c r="C91" s="1"/>
      <c r="D91" s="1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"/>
      <c r="V91" s="1"/>
    </row>
    <row r="92" spans="1:22" ht="20" customHeight="1">
      <c r="A92" s="1"/>
      <c r="B92" s="1"/>
      <c r="C92" s="1"/>
      <c r="D92" s="1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"/>
      <c r="V92" s="1"/>
    </row>
    <row r="93" spans="1:22" ht="20" customHeight="1">
      <c r="A93" s="1"/>
      <c r="B93" s="1"/>
      <c r="C93" s="1"/>
      <c r="D93" s="1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"/>
      <c r="V93" s="1"/>
    </row>
    <row r="94" spans="1:22" ht="20" customHeight="1">
      <c r="A94" s="1"/>
      <c r="B94" s="1"/>
      <c r="C94" s="1"/>
      <c r="D94" s="1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"/>
      <c r="V94" s="1"/>
    </row>
    <row r="95" spans="1:22" ht="20" customHeight="1">
      <c r="A95" s="1"/>
      <c r="B95" s="1"/>
      <c r="C95" s="1"/>
      <c r="D95" s="1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"/>
      <c r="V95" s="1"/>
    </row>
    <row r="96" spans="1:22" ht="20" customHeight="1">
      <c r="A96" s="1"/>
      <c r="B96" s="1"/>
      <c r="C96" s="1"/>
      <c r="D96" s="1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"/>
      <c r="V96" s="1"/>
    </row>
    <row r="97" spans="1:22" ht="20" customHeight="1">
      <c r="A97" s="1"/>
      <c r="B97" s="1"/>
      <c r="C97" s="1"/>
      <c r="D97" s="1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"/>
      <c r="V97" s="1"/>
    </row>
    <row r="98" spans="1:22" ht="20" customHeight="1">
      <c r="A98" s="1"/>
      <c r="B98" s="1"/>
      <c r="C98" s="1"/>
      <c r="D98" s="1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"/>
      <c r="V98" s="1"/>
    </row>
    <row r="99" spans="1:22" ht="20" customHeight="1">
      <c r="A99" s="1"/>
      <c r="B99" s="1"/>
      <c r="C99" s="1"/>
      <c r="D99" s="1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"/>
      <c r="V99" s="1"/>
    </row>
    <row r="100" spans="1:22" ht="20" customHeight="1">
      <c r="A100" s="1"/>
      <c r="B100" s="1"/>
      <c r="C100" s="1"/>
      <c r="D100" s="1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"/>
      <c r="V100" s="1"/>
    </row>
    <row r="101" spans="1:22" ht="20" customHeight="1">
      <c r="A101" s="1"/>
      <c r="B101" s="1"/>
      <c r="C101" s="1"/>
      <c r="D101" s="1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"/>
      <c r="V101" s="1"/>
    </row>
    <row r="102" spans="1:22" ht="20" customHeight="1">
      <c r="A102" s="1"/>
      <c r="B102" s="1"/>
      <c r="C102" s="1"/>
      <c r="D102" s="1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"/>
      <c r="V102" s="1"/>
    </row>
    <row r="103" spans="1:22" ht="20" customHeight="1">
      <c r="A103" s="1"/>
      <c r="B103" s="1"/>
      <c r="C103" s="1"/>
      <c r="D103" s="1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"/>
      <c r="V103" s="1"/>
    </row>
    <row r="104" spans="1:22" ht="20" customHeight="1">
      <c r="A104" s="1"/>
      <c r="B104" s="1"/>
      <c r="C104" s="1"/>
      <c r="D104" s="1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"/>
      <c r="V104" s="1"/>
    </row>
    <row r="105" spans="1:22" ht="20" customHeight="1">
      <c r="A105" s="1"/>
      <c r="B105" s="1"/>
      <c r="C105" s="1"/>
      <c r="D105" s="1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"/>
      <c r="V105" s="1"/>
    </row>
    <row r="106" spans="1:22" ht="20" customHeight="1">
      <c r="A106" s="1"/>
      <c r="B106" s="1"/>
      <c r="C106" s="1"/>
      <c r="D106" s="1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"/>
      <c r="V106" s="1"/>
    </row>
    <row r="107" spans="1:22" ht="20" customHeight="1">
      <c r="A107" s="1"/>
      <c r="B107" s="1"/>
      <c r="C107" s="1"/>
      <c r="D107" s="1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"/>
      <c r="V107" s="1"/>
    </row>
    <row r="108" spans="1:22" ht="20" customHeight="1">
      <c r="A108" s="1"/>
      <c r="B108" s="1"/>
      <c r="C108" s="1"/>
      <c r="D108" s="1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"/>
      <c r="V108" s="1"/>
    </row>
    <row r="109" spans="1:22" ht="20" customHeight="1">
      <c r="A109" s="1"/>
      <c r="B109" s="1"/>
      <c r="C109" s="1"/>
      <c r="D109" s="1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"/>
      <c r="V109" s="1"/>
    </row>
    <row r="110" spans="1:22" ht="20" customHeight="1">
      <c r="A110" s="1"/>
      <c r="B110" s="1"/>
      <c r="C110" s="1"/>
      <c r="D110" s="1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"/>
      <c r="V110" s="1"/>
    </row>
    <row r="111" spans="1:22" ht="20" customHeight="1">
      <c r="A111" s="1"/>
      <c r="B111" s="1"/>
      <c r="C111" s="1"/>
      <c r="D111" s="1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"/>
      <c r="V111" s="1"/>
    </row>
    <row r="112" spans="1:22" ht="20" customHeight="1">
      <c r="A112" s="1"/>
      <c r="B112" s="1"/>
      <c r="C112" s="1"/>
      <c r="D112" s="1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"/>
      <c r="V112" s="1"/>
    </row>
    <row r="113" spans="1:22" ht="20" customHeight="1">
      <c r="A113" s="1"/>
      <c r="B113" s="1"/>
      <c r="C113" s="1"/>
      <c r="D113" s="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"/>
      <c r="V113" s="1"/>
    </row>
    <row r="114" spans="1:22" ht="20" customHeight="1">
      <c r="A114" s="1"/>
      <c r="B114" s="1"/>
      <c r="C114" s="1"/>
      <c r="D114" s="1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"/>
      <c r="V114" s="1"/>
    </row>
    <row r="115" spans="1:22" ht="20" customHeight="1">
      <c r="A115" s="1"/>
      <c r="B115" s="1"/>
      <c r="C115" s="1"/>
      <c r="D115" s="1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"/>
      <c r="V115" s="1"/>
    </row>
    <row r="116" spans="1:22" ht="20" customHeight="1">
      <c r="A116" s="1"/>
      <c r="B116" s="1"/>
      <c r="C116" s="1"/>
      <c r="D116" s="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"/>
      <c r="V116" s="1"/>
    </row>
    <row r="117" spans="1:22" ht="20" customHeight="1">
      <c r="A117" s="1"/>
      <c r="B117" s="1"/>
      <c r="C117" s="1"/>
      <c r="D117" s="1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"/>
      <c r="V117" s="1"/>
    </row>
    <row r="118" spans="1:22" ht="20" customHeight="1">
      <c r="A118" s="1"/>
      <c r="B118" s="1"/>
      <c r="C118" s="1"/>
      <c r="D118" s="1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"/>
      <c r="V118" s="1"/>
    </row>
    <row r="119" spans="1:22" ht="20" customHeight="1">
      <c r="A119" s="1"/>
      <c r="B119" s="1"/>
      <c r="C119" s="1"/>
      <c r="D119" s="1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"/>
      <c r="V119" s="1"/>
    </row>
    <row r="120" spans="1:22" ht="20" customHeight="1">
      <c r="A120" s="1"/>
      <c r="B120" s="1"/>
      <c r="C120" s="1"/>
      <c r="D120" s="1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"/>
      <c r="V120" s="1"/>
    </row>
    <row r="121" spans="1:22" ht="20" customHeight="1">
      <c r="A121" s="1"/>
      <c r="B121" s="1"/>
      <c r="C121" s="1"/>
      <c r="D121" s="1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"/>
      <c r="V121" s="1"/>
    </row>
    <row r="122" spans="1:22" ht="20" customHeight="1">
      <c r="A122" s="1"/>
      <c r="B122" s="1"/>
      <c r="C122" s="1"/>
      <c r="D122" s="1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"/>
      <c r="V122" s="1"/>
    </row>
    <row r="123" spans="1:22" ht="20" customHeight="1">
      <c r="A123" s="1"/>
      <c r="B123" s="1"/>
      <c r="C123" s="1"/>
      <c r="D123" s="1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"/>
      <c r="V123" s="1"/>
    </row>
    <row r="124" spans="1:22" ht="20" customHeight="1">
      <c r="A124" s="1"/>
      <c r="B124" s="1"/>
      <c r="C124" s="1"/>
      <c r="D124" s="1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"/>
      <c r="V124" s="1"/>
    </row>
    <row r="125" spans="1:22" ht="20" customHeight="1">
      <c r="A125" s="1"/>
      <c r="B125" s="1"/>
      <c r="C125" s="1"/>
      <c r="D125" s="1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"/>
      <c r="V125" s="1"/>
    </row>
    <row r="126" spans="1:22" ht="20" customHeight="1">
      <c r="A126" s="1"/>
      <c r="B126" s="1"/>
      <c r="C126" s="1"/>
      <c r="D126" s="1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"/>
      <c r="V126" s="1"/>
    </row>
    <row r="127" spans="1:22" ht="20" customHeight="1">
      <c r="A127" s="1"/>
      <c r="B127" s="1"/>
      <c r="C127" s="1"/>
      <c r="D127" s="1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"/>
      <c r="V127" s="1"/>
    </row>
    <row r="128" spans="1:22" ht="20" customHeight="1">
      <c r="A128" s="1"/>
      <c r="B128" s="1"/>
      <c r="C128" s="1"/>
      <c r="D128" s="1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"/>
      <c r="V128" s="1"/>
    </row>
    <row r="129" spans="1:22" ht="20" customHeight="1">
      <c r="A129" s="1"/>
      <c r="B129" s="1"/>
      <c r="C129" s="1"/>
      <c r="D129" s="1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"/>
      <c r="V129" s="1"/>
    </row>
    <row r="130" spans="1:22" ht="20" customHeight="1">
      <c r="A130" s="1"/>
      <c r="B130" s="1"/>
      <c r="C130" s="1"/>
      <c r="D130" s="1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"/>
      <c r="V130" s="1"/>
    </row>
    <row r="131" spans="1:22" ht="20" customHeight="1">
      <c r="A131" s="1"/>
      <c r="B131" s="1"/>
      <c r="C131" s="1"/>
      <c r="D131" s="1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"/>
      <c r="V131" s="1"/>
    </row>
    <row r="132" spans="1:22" ht="20" customHeight="1">
      <c r="A132" s="1"/>
      <c r="B132" s="1"/>
      <c r="C132" s="1"/>
      <c r="D132" s="1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"/>
      <c r="V132" s="1"/>
    </row>
    <row r="133" spans="1:22" ht="20" customHeight="1">
      <c r="A133" s="1"/>
      <c r="B133" s="1"/>
      <c r="C133" s="1"/>
      <c r="D133" s="1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"/>
      <c r="V133" s="1"/>
    </row>
    <row r="134" spans="1:22" ht="20" customHeight="1">
      <c r="A134" s="1"/>
      <c r="B134" s="1"/>
      <c r="C134" s="1"/>
      <c r="D134" s="1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"/>
      <c r="V134" s="1"/>
    </row>
    <row r="135" spans="1:22" ht="20" customHeight="1">
      <c r="A135" s="1"/>
      <c r="B135" s="1"/>
      <c r="C135" s="1"/>
      <c r="D135" s="1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"/>
      <c r="V135" s="1"/>
    </row>
    <row r="136" spans="1:22" ht="20" customHeight="1">
      <c r="A136" s="1"/>
      <c r="B136" s="1"/>
      <c r="C136" s="1"/>
      <c r="D136" s="1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"/>
      <c r="V136" s="1"/>
    </row>
    <row r="137" spans="1:22" ht="20" customHeight="1">
      <c r="A137" s="1"/>
      <c r="B137" s="1"/>
      <c r="C137" s="1"/>
      <c r="D137" s="1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"/>
      <c r="V137" s="1"/>
    </row>
    <row r="138" spans="1:22" ht="20" customHeight="1">
      <c r="A138" s="1"/>
      <c r="B138" s="1"/>
      <c r="C138" s="1"/>
      <c r="D138" s="1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"/>
      <c r="V138" s="1"/>
    </row>
    <row r="139" spans="1:22" ht="20" customHeight="1">
      <c r="A139" s="1"/>
      <c r="B139" s="1"/>
      <c r="C139" s="1"/>
      <c r="D139" s="1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"/>
      <c r="V139" s="1"/>
    </row>
    <row r="140" spans="1:22" ht="20" customHeight="1">
      <c r="A140" s="1"/>
      <c r="B140" s="1"/>
      <c r="C140" s="1"/>
      <c r="D140" s="1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"/>
      <c r="V140" s="1"/>
    </row>
    <row r="141" spans="1:22" ht="20" customHeight="1">
      <c r="A141" s="1"/>
      <c r="B141" s="1"/>
      <c r="C141" s="1"/>
      <c r="D141" s="1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"/>
      <c r="V141" s="1"/>
    </row>
    <row r="142" spans="1:22" ht="20" customHeight="1">
      <c r="A142" s="1"/>
      <c r="B142" s="1"/>
      <c r="C142" s="1"/>
      <c r="D142" s="1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"/>
      <c r="V142" s="1"/>
    </row>
    <row r="143" spans="1:22" ht="20" customHeight="1">
      <c r="A143" s="1"/>
      <c r="B143" s="1"/>
      <c r="C143" s="1"/>
      <c r="D143" s="1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"/>
      <c r="V143" s="1"/>
    </row>
    <row r="144" spans="1:22" ht="20" customHeight="1">
      <c r="A144" s="1"/>
      <c r="B144" s="1"/>
      <c r="C144" s="1"/>
      <c r="D144" s="1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"/>
      <c r="V144" s="1"/>
    </row>
    <row r="145" spans="1:22" ht="20" customHeight="1">
      <c r="A145" s="1"/>
      <c r="B145" s="1"/>
      <c r="C145" s="1"/>
      <c r="D145" s="1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"/>
      <c r="V145" s="1"/>
    </row>
    <row r="146" spans="1:22" ht="20" customHeight="1">
      <c r="A146" s="1"/>
      <c r="B146" s="1"/>
      <c r="C146" s="1"/>
      <c r="D146" s="1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"/>
      <c r="V146" s="1"/>
    </row>
    <row r="147" spans="1:22" ht="20" customHeight="1">
      <c r="A147" s="1"/>
      <c r="B147" s="1"/>
      <c r="C147" s="1"/>
      <c r="D147" s="1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"/>
      <c r="V147" s="1"/>
    </row>
    <row r="148" spans="1:22" ht="20" customHeight="1">
      <c r="A148" s="1"/>
      <c r="B148" s="1"/>
      <c r="C148" s="1"/>
      <c r="D148" s="1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"/>
      <c r="V148" s="1"/>
    </row>
    <row r="149" spans="1:22" ht="20" customHeight="1">
      <c r="A149" s="1"/>
      <c r="B149" s="1"/>
      <c r="C149" s="1"/>
      <c r="D149" s="1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5"/>
  <sheetViews>
    <sheetView showGridLines="0" workbookViewId="0">
      <pane xSplit="4" ySplit="7" topLeftCell="E92" activePane="bottomRight" state="frozen"/>
      <selection pane="topRight"/>
      <selection pane="bottomLeft"/>
      <selection pane="bottomRight" activeCell="C102" sqref="C102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42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 t="s">
        <v>43</v>
      </c>
      <c r="D5" s="1"/>
      <c r="E5" s="3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</row>
    <row r="8" spans="1:22" ht="20" customHeight="1">
      <c r="A8" s="1"/>
      <c r="B8" s="1"/>
      <c r="C8" s="1" t="s">
        <v>3</v>
      </c>
      <c r="D8" s="1"/>
      <c r="E8" s="17">
        <f>Sources!E8</f>
        <v>227.8</v>
      </c>
      <c r="F8" s="15"/>
      <c r="G8" s="15" t="s">
        <v>44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</row>
    <row r="9" spans="1:22" ht="20" customHeight="1">
      <c r="A9" s="1"/>
      <c r="B9" s="1"/>
      <c r="C9" s="1" t="s">
        <v>10</v>
      </c>
      <c r="D9" s="1"/>
      <c r="E9" s="18">
        <f>Sources!E9</f>
        <v>46311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</row>
    <row r="10" spans="1:22" ht="20" customHeight="1">
      <c r="A10" s="1"/>
      <c r="B10" s="1"/>
      <c r="C10" s="1" t="s">
        <v>11</v>
      </c>
      <c r="D10" s="1"/>
      <c r="E10" s="18">
        <f>Sources!E10</f>
        <v>46676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</row>
    <row r="11" spans="1:22" ht="20" customHeight="1">
      <c r="A11" s="1"/>
      <c r="B11" s="1"/>
      <c r="C11" s="1" t="s">
        <v>45</v>
      </c>
      <c r="D11" s="1"/>
      <c r="E11" s="18">
        <f>Sources!E11</f>
        <v>46203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</row>
    <row r="12" spans="1:22" ht="20" customHeight="1">
      <c r="A12" s="1"/>
      <c r="B12" s="1"/>
      <c r="C12" s="1"/>
      <c r="D12" s="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</row>
    <row r="13" spans="1:22" ht="20" customHeight="1">
      <c r="A13" s="1"/>
      <c r="B13" s="1"/>
      <c r="C13" s="1"/>
      <c r="D13" s="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</row>
    <row r="14" spans="1:22" ht="20" customHeight="1">
      <c r="A14" s="1"/>
      <c r="B14" s="1"/>
      <c r="C14" s="1"/>
      <c r="D14" s="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</row>
    <row r="15" spans="1:22" ht="20" customHeight="1">
      <c r="A15" s="1"/>
      <c r="B15" s="1"/>
      <c r="C15" s="1" t="s">
        <v>46</v>
      </c>
      <c r="D15" s="1"/>
      <c r="E15" s="15">
        <v>1.08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</row>
    <row r="16" spans="1:22" ht="20" customHeight="1">
      <c r="A16" s="1"/>
      <c r="B16" s="1"/>
      <c r="C16" s="1" t="s">
        <v>47</v>
      </c>
      <c r="D16" s="1"/>
      <c r="E16" s="16">
        <v>0.03</v>
      </c>
      <c r="F16" s="15"/>
      <c r="G16" s="15" t="s">
        <v>48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</row>
    <row r="17" spans="1:22" ht="20" customHeight="1">
      <c r="A17" s="1"/>
      <c r="B17" s="1"/>
      <c r="C17" s="1" t="s">
        <v>49</v>
      </c>
      <c r="D17" s="1"/>
      <c r="E17" s="16">
        <v>0.3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</row>
    <row r="18" spans="1:22" ht="20" customHeight="1">
      <c r="A18" s="1"/>
      <c r="B18" s="1"/>
      <c r="C18" s="1" t="s">
        <v>50</v>
      </c>
      <c r="D18" s="1"/>
      <c r="E18" s="16">
        <v>0.5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</row>
    <row r="19" spans="1:22" ht="20" customHeight="1">
      <c r="A19" s="1"/>
      <c r="B19" s="1"/>
      <c r="C19" s="1" t="s">
        <v>51</v>
      </c>
      <c r="D19" s="1"/>
      <c r="E19" s="16">
        <v>0.06</v>
      </c>
      <c r="F19" s="15"/>
      <c r="G19" s="15" t="s">
        <v>52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</row>
    <row r="20" spans="1:22" ht="20" customHeight="1">
      <c r="A20" s="1"/>
      <c r="B20" s="1"/>
      <c r="C20" s="1" t="s">
        <v>53</v>
      </c>
      <c r="D20" s="1"/>
      <c r="E20" s="16">
        <v>0.5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</row>
    <row r="21" spans="1:22" ht="20" customHeight="1">
      <c r="A21" s="1"/>
      <c r="B21" s="1"/>
      <c r="C21" s="1" t="s">
        <v>54</v>
      </c>
      <c r="D21" s="1"/>
      <c r="E21" s="15">
        <v>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</row>
    <row r="22" spans="1:22" ht="20" customHeight="1">
      <c r="A22" s="1"/>
      <c r="B22" s="1"/>
      <c r="C22" s="1" t="s">
        <v>55</v>
      </c>
      <c r="D22" s="1"/>
      <c r="E22" s="15">
        <v>1000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</row>
    <row r="23" spans="1:22" ht="20" customHeight="1">
      <c r="A23" s="1"/>
      <c r="B23" s="1"/>
      <c r="C23" s="1" t="s">
        <v>56</v>
      </c>
      <c r="D23" s="1"/>
      <c r="E23" s="15">
        <f>Sources!E15</f>
        <v>1.38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</row>
    <row r="24" spans="1:22" ht="20" customHeight="1">
      <c r="A24" s="1"/>
      <c r="B24" s="1"/>
      <c r="C24" s="1" t="s">
        <v>57</v>
      </c>
      <c r="D24" s="1"/>
      <c r="E24" s="16">
        <v>0.98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</row>
    <row r="25" spans="1:22" ht="20" customHeight="1">
      <c r="A25" s="1"/>
      <c r="B25" s="1"/>
      <c r="C25" s="1" t="s">
        <v>58</v>
      </c>
      <c r="D25" s="1"/>
      <c r="E25" s="15">
        <f>Sources!E16</f>
        <v>0.78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</row>
    <row r="26" spans="1:22" ht="20" customHeight="1">
      <c r="A26" s="1"/>
      <c r="B26" s="1"/>
      <c r="C26" s="1" t="s">
        <v>59</v>
      </c>
      <c r="D26" s="1"/>
      <c r="E26" s="15">
        <v>0.4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</row>
    <row r="27" spans="1:22" ht="20" customHeight="1">
      <c r="A27" s="1"/>
      <c r="B27" s="1"/>
      <c r="C27" s="1" t="s">
        <v>60</v>
      </c>
      <c r="D27" s="1"/>
      <c r="E27" s="16">
        <v>0.47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</row>
    <row r="28" spans="1:22" ht="20" customHeight="1">
      <c r="A28" s="1"/>
      <c r="B28" s="1"/>
      <c r="C28" s="1" t="s">
        <v>61</v>
      </c>
      <c r="D28" s="1"/>
      <c r="E28" s="16">
        <v>1</v>
      </c>
      <c r="F28" s="15"/>
      <c r="G28" s="15" t="s">
        <v>62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</row>
    <row r="29" spans="1:22" ht="20" customHeight="1">
      <c r="A29" s="1"/>
      <c r="B29" s="1"/>
      <c r="C29" s="1" t="s">
        <v>63</v>
      </c>
      <c r="D29" s="1"/>
      <c r="E29" s="16">
        <v>0.22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</row>
    <row r="30" spans="1:22" ht="20" customHeight="1">
      <c r="A30" s="1"/>
      <c r="B30" s="1"/>
      <c r="C30" s="1" t="s">
        <v>64</v>
      </c>
      <c r="D30" s="1"/>
      <c r="E30" s="16">
        <v>0.23499999999999999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</row>
    <row r="31" spans="1:22" ht="20" customHeight="1">
      <c r="A31" s="1"/>
      <c r="B31" s="1"/>
      <c r="C31" s="1" t="s">
        <v>65</v>
      </c>
      <c r="D31" s="1"/>
      <c r="E31" s="15">
        <v>40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</row>
    <row r="32" spans="1:22" ht="20" customHeight="1">
      <c r="A32" s="1"/>
      <c r="B32" s="1"/>
      <c r="C32" s="1" t="s">
        <v>66</v>
      </c>
      <c r="D32" s="1"/>
      <c r="E32" s="15">
        <v>45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</row>
    <row r="33" spans="1:22" ht="20" customHeight="1">
      <c r="A33" s="1"/>
      <c r="B33" s="1"/>
      <c r="C33" s="1" t="s">
        <v>67</v>
      </c>
      <c r="D33" s="1"/>
      <c r="E33" s="16">
        <v>0.26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</row>
    <row r="34" spans="1:22" ht="20" customHeight="1">
      <c r="A34" s="1"/>
      <c r="B34" s="1"/>
      <c r="C34" s="1" t="s">
        <v>68</v>
      </c>
      <c r="D34" s="1"/>
      <c r="E34" s="15">
        <f>Sources!E17</f>
        <v>0.26500000000000001</v>
      </c>
      <c r="F34" s="15"/>
      <c r="G34" s="15" t="s">
        <v>69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"/>
      <c r="V34" s="1"/>
    </row>
    <row r="35" spans="1:22" ht="20" customHeight="1">
      <c r="A35" s="1"/>
      <c r="B35" s="1"/>
      <c r="C35" s="1" t="s">
        <v>70</v>
      </c>
      <c r="D35" s="1"/>
      <c r="E35" s="16">
        <v>0.75</v>
      </c>
      <c r="F35" s="15"/>
      <c r="G35" s="15" t="s">
        <v>71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"/>
      <c r="V35" s="1"/>
    </row>
    <row r="36" spans="1:22" ht="20" customHeight="1">
      <c r="A36" s="1"/>
      <c r="B36" s="1"/>
      <c r="C36" s="1" t="s">
        <v>72</v>
      </c>
      <c r="D36" s="1"/>
      <c r="E36" s="16">
        <v>0.18</v>
      </c>
      <c r="F36" s="15"/>
      <c r="G36" s="15" t="s">
        <v>73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"/>
      <c r="V36" s="1"/>
    </row>
    <row r="37" spans="1:22" ht="20" customHeight="1">
      <c r="A37" s="1"/>
      <c r="B37" s="1"/>
      <c r="C37" s="1" t="s">
        <v>74</v>
      </c>
      <c r="D37" s="1"/>
      <c r="E37" s="15">
        <v>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"/>
      <c r="V37" s="1"/>
    </row>
    <row r="38" spans="1:22" ht="20" customHeight="1">
      <c r="A38" s="1"/>
      <c r="B38" s="1"/>
      <c r="C38" s="1"/>
      <c r="D38" s="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"/>
      <c r="V38" s="1"/>
    </row>
    <row r="39" spans="1:22" ht="20" customHeight="1">
      <c r="A39" s="1"/>
      <c r="B39" s="1"/>
      <c r="C39" s="1"/>
      <c r="D39" s="1"/>
      <c r="E39" s="14" t="s">
        <v>19</v>
      </c>
      <c r="F39" s="14" t="s">
        <v>20</v>
      </c>
      <c r="G39" s="14" t="s">
        <v>21</v>
      </c>
      <c r="H39" s="14" t="s">
        <v>22</v>
      </c>
      <c r="I39" s="14" t="s">
        <v>23</v>
      </c>
      <c r="J39" s="14" t="s">
        <v>24</v>
      </c>
      <c r="K39" s="14" t="s">
        <v>25</v>
      </c>
      <c r="L39" s="14" t="s">
        <v>26</v>
      </c>
      <c r="M39" s="14" t="s">
        <v>27</v>
      </c>
      <c r="N39" s="14" t="s">
        <v>28</v>
      </c>
      <c r="O39" s="15"/>
      <c r="P39" s="15"/>
      <c r="Q39" s="15"/>
      <c r="R39" s="15"/>
      <c r="S39" s="15"/>
      <c r="T39" s="15"/>
      <c r="U39" s="1"/>
      <c r="V39" s="1"/>
    </row>
    <row r="40" spans="1:22" ht="20" customHeight="1">
      <c r="A40" s="1"/>
      <c r="B40" s="1"/>
      <c r="C40" s="7" t="s">
        <v>75</v>
      </c>
      <c r="D40" s="7"/>
      <c r="E40" s="14">
        <f t="shared" ref="E40:N40" si="0">IF(COUNT(INDEX(E41:E43,$E$5))=1,INDEX(E41:E43,$E$5),NA())</f>
        <v>5.76</v>
      </c>
      <c r="F40" s="14">
        <f t="shared" si="0"/>
        <v>6.95</v>
      </c>
      <c r="G40" s="14">
        <f t="shared" si="0"/>
        <v>8</v>
      </c>
      <c r="H40" s="14">
        <f t="shared" si="0"/>
        <v>9.1</v>
      </c>
      <c r="I40" s="14">
        <f t="shared" si="0"/>
        <v>10</v>
      </c>
      <c r="J40" s="14">
        <f t="shared" si="0"/>
        <v>11.1</v>
      </c>
      <c r="K40" s="14">
        <f t="shared" si="0"/>
        <v>12.2</v>
      </c>
      <c r="L40" s="14">
        <f t="shared" si="0"/>
        <v>13.3</v>
      </c>
      <c r="M40" s="14">
        <f t="shared" si="0"/>
        <v>14.4</v>
      </c>
      <c r="N40" s="14">
        <f t="shared" si="0"/>
        <v>15.5</v>
      </c>
      <c r="O40" s="15"/>
      <c r="P40" s="15"/>
      <c r="Q40" s="15"/>
      <c r="R40" s="15"/>
      <c r="S40" s="15"/>
      <c r="T40" s="15"/>
      <c r="U40" s="1"/>
      <c r="V40" s="1"/>
    </row>
    <row r="41" spans="1:22" ht="20" customHeight="1">
      <c r="A41" s="1"/>
      <c r="B41" s="1"/>
      <c r="C41" s="1" t="s">
        <v>76</v>
      </c>
      <c r="D41" s="1"/>
      <c r="E41" s="15">
        <v>5.5</v>
      </c>
      <c r="F41" s="15">
        <v>6</v>
      </c>
      <c r="G41" s="15">
        <v>6.8</v>
      </c>
      <c r="H41" s="15">
        <v>7.5</v>
      </c>
      <c r="I41" s="15">
        <v>8.1999999999999993</v>
      </c>
      <c r="J41" s="15">
        <v>8.8000000000000007</v>
      </c>
      <c r="K41" s="15">
        <v>9.4</v>
      </c>
      <c r="L41" s="15">
        <v>10</v>
      </c>
      <c r="M41" s="15">
        <v>10.5</v>
      </c>
      <c r="N41" s="15">
        <v>11</v>
      </c>
      <c r="O41" s="15"/>
      <c r="P41" s="15"/>
      <c r="Q41" s="15"/>
      <c r="R41" s="15"/>
      <c r="S41" s="15"/>
      <c r="T41" s="15"/>
      <c r="U41" s="1"/>
      <c r="V41" s="1"/>
    </row>
    <row r="42" spans="1:22" ht="20" customHeight="1">
      <c r="A42" s="1"/>
      <c r="B42" s="1"/>
      <c r="C42" s="1" t="s">
        <v>77</v>
      </c>
      <c r="D42" s="1"/>
      <c r="E42" s="15">
        <v>5.76</v>
      </c>
      <c r="F42" s="15">
        <v>6.95</v>
      </c>
      <c r="G42" s="15">
        <v>8</v>
      </c>
      <c r="H42" s="15">
        <v>9.1</v>
      </c>
      <c r="I42" s="15">
        <v>10</v>
      </c>
      <c r="J42" s="15">
        <v>11.1</v>
      </c>
      <c r="K42" s="15">
        <v>12.2</v>
      </c>
      <c r="L42" s="15">
        <v>13.3</v>
      </c>
      <c r="M42" s="15">
        <v>14.4</v>
      </c>
      <c r="N42" s="15">
        <v>15.5</v>
      </c>
      <c r="O42" s="15"/>
      <c r="P42" s="15"/>
      <c r="Q42" s="15"/>
      <c r="R42" s="15"/>
      <c r="S42" s="15"/>
      <c r="T42" s="15"/>
      <c r="U42" s="1"/>
      <c r="V42" s="1"/>
    </row>
    <row r="43" spans="1:22" ht="20" customHeight="1">
      <c r="A43" s="1"/>
      <c r="B43" s="1"/>
      <c r="C43" s="1" t="s">
        <v>78</v>
      </c>
      <c r="D43" s="1"/>
      <c r="E43" s="15">
        <v>6</v>
      </c>
      <c r="F43" s="15">
        <v>7.5</v>
      </c>
      <c r="G43" s="15">
        <v>9</v>
      </c>
      <c r="H43" s="15">
        <v>10.5</v>
      </c>
      <c r="I43" s="15">
        <v>12</v>
      </c>
      <c r="J43" s="15">
        <v>14</v>
      </c>
      <c r="K43" s="15">
        <v>16</v>
      </c>
      <c r="L43" s="15">
        <v>18</v>
      </c>
      <c r="M43" s="15">
        <v>20</v>
      </c>
      <c r="N43" s="15">
        <v>22</v>
      </c>
      <c r="O43" s="15"/>
      <c r="P43" s="15"/>
      <c r="Q43" s="15"/>
      <c r="R43" s="15"/>
      <c r="S43" s="15"/>
      <c r="T43" s="15"/>
      <c r="U43" s="1"/>
      <c r="V43" s="1"/>
    </row>
    <row r="44" spans="1:22" ht="20" customHeight="1">
      <c r="A44" s="1"/>
      <c r="B44" s="1"/>
      <c r="C44" s="1"/>
      <c r="D44" s="1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"/>
      <c r="V44" s="1"/>
    </row>
    <row r="45" spans="1:22" ht="20" customHeight="1">
      <c r="A45" s="1"/>
      <c r="B45" s="1"/>
      <c r="C45" s="7" t="s">
        <v>79</v>
      </c>
      <c r="D45" s="7"/>
      <c r="E45" s="14">
        <f t="shared" ref="E45:N45" si="1">IF(COUNT(INDEX(E46:E48,$E$5))=1,INDEX(E46:E48,$E$5),NA())</f>
        <v>0.3</v>
      </c>
      <c r="F45" s="14">
        <f t="shared" si="1"/>
        <v>1.3</v>
      </c>
      <c r="G45" s="14">
        <f t="shared" si="1"/>
        <v>4</v>
      </c>
      <c r="H45" s="14">
        <f t="shared" si="1"/>
        <v>8.9</v>
      </c>
      <c r="I45" s="14">
        <f t="shared" si="1"/>
        <v>15</v>
      </c>
      <c r="J45" s="14">
        <f t="shared" si="1"/>
        <v>19</v>
      </c>
      <c r="K45" s="14">
        <f t="shared" si="1"/>
        <v>22</v>
      </c>
      <c r="L45" s="14">
        <f t="shared" si="1"/>
        <v>25</v>
      </c>
      <c r="M45" s="14">
        <f t="shared" si="1"/>
        <v>28</v>
      </c>
      <c r="N45" s="14">
        <f t="shared" si="1"/>
        <v>31</v>
      </c>
      <c r="O45" s="15"/>
      <c r="P45" s="15"/>
      <c r="Q45" s="15"/>
      <c r="R45" s="15"/>
      <c r="S45" s="15"/>
      <c r="T45" s="15"/>
      <c r="U45" s="1"/>
      <c r="V45" s="1"/>
    </row>
    <row r="46" spans="1:22" ht="20" customHeight="1">
      <c r="A46" s="1"/>
      <c r="B46" s="1"/>
      <c r="C46" s="1" t="s">
        <v>76</v>
      </c>
      <c r="D46" s="1"/>
      <c r="E46" s="15">
        <v>0.15</v>
      </c>
      <c r="F46" s="15">
        <v>0.6</v>
      </c>
      <c r="G46" s="15">
        <v>1.5</v>
      </c>
      <c r="H46" s="15">
        <v>3</v>
      </c>
      <c r="I46" s="15">
        <v>5</v>
      </c>
      <c r="J46" s="15">
        <v>6</v>
      </c>
      <c r="K46" s="15">
        <v>7</v>
      </c>
      <c r="L46" s="15">
        <v>8</v>
      </c>
      <c r="M46" s="15">
        <v>9</v>
      </c>
      <c r="N46" s="15">
        <v>10</v>
      </c>
      <c r="O46" s="15"/>
      <c r="P46" s="15"/>
      <c r="Q46" s="15"/>
      <c r="R46" s="15"/>
      <c r="S46" s="15"/>
      <c r="T46" s="15"/>
      <c r="U46" s="1"/>
      <c r="V46" s="1"/>
    </row>
    <row r="47" spans="1:22" ht="20" customHeight="1">
      <c r="A47" s="1"/>
      <c r="B47" s="1"/>
      <c r="C47" s="1" t="s">
        <v>77</v>
      </c>
      <c r="D47" s="1"/>
      <c r="E47" s="15">
        <v>0.3</v>
      </c>
      <c r="F47" s="15">
        <v>1.3</v>
      </c>
      <c r="G47" s="15">
        <v>4</v>
      </c>
      <c r="H47" s="15">
        <v>8.9</v>
      </c>
      <c r="I47" s="15">
        <v>15</v>
      </c>
      <c r="J47" s="15">
        <v>19</v>
      </c>
      <c r="K47" s="15">
        <v>22</v>
      </c>
      <c r="L47" s="15">
        <v>25</v>
      </c>
      <c r="M47" s="15">
        <v>28</v>
      </c>
      <c r="N47" s="15">
        <v>31</v>
      </c>
      <c r="O47" s="15"/>
      <c r="P47" s="15"/>
      <c r="Q47" s="15"/>
      <c r="R47" s="15"/>
      <c r="S47" s="15"/>
      <c r="T47" s="15"/>
      <c r="U47" s="1"/>
      <c r="V47" s="1"/>
    </row>
    <row r="48" spans="1:22" ht="20" customHeight="1">
      <c r="A48" s="1"/>
      <c r="B48" s="1"/>
      <c r="C48" s="1" t="s">
        <v>78</v>
      </c>
      <c r="D48" s="1"/>
      <c r="E48" s="15">
        <v>0.6</v>
      </c>
      <c r="F48" s="15">
        <v>2.5</v>
      </c>
      <c r="G48" s="15">
        <v>7</v>
      </c>
      <c r="H48" s="15">
        <v>14.5</v>
      </c>
      <c r="I48" s="15">
        <v>23</v>
      </c>
      <c r="J48" s="15">
        <v>33</v>
      </c>
      <c r="K48" s="15">
        <v>44</v>
      </c>
      <c r="L48" s="15">
        <v>55</v>
      </c>
      <c r="M48" s="15">
        <v>66</v>
      </c>
      <c r="N48" s="15">
        <v>78</v>
      </c>
      <c r="O48" s="15"/>
      <c r="P48" s="15"/>
      <c r="Q48" s="15"/>
      <c r="R48" s="15"/>
      <c r="S48" s="15"/>
      <c r="T48" s="15"/>
      <c r="U48" s="1"/>
      <c r="V48" s="1"/>
    </row>
    <row r="49" spans="1:22" ht="20" customHeight="1">
      <c r="A49" s="1"/>
      <c r="B49" s="1"/>
      <c r="C49" s="1"/>
      <c r="D49" s="1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"/>
      <c r="V49" s="1"/>
    </row>
    <row r="50" spans="1:22" ht="20" customHeight="1">
      <c r="A50" s="1"/>
      <c r="B50" s="1"/>
      <c r="C50" s="7" t="s">
        <v>80</v>
      </c>
      <c r="D50" s="7"/>
      <c r="E50" s="19">
        <f t="shared" ref="E50:N50" si="2">IF(COUNT(INDEX(E51:E53,$E$5))=1,INDEX(E51:E53,$E$5),NA())</f>
        <v>0.98</v>
      </c>
      <c r="F50" s="19">
        <f t="shared" si="2"/>
        <v>0.98</v>
      </c>
      <c r="G50" s="19">
        <f t="shared" si="2"/>
        <v>0.98</v>
      </c>
      <c r="H50" s="19">
        <f t="shared" si="2"/>
        <v>0.98</v>
      </c>
      <c r="I50" s="19">
        <f t="shared" si="2"/>
        <v>0.98</v>
      </c>
      <c r="J50" s="19">
        <f t="shared" si="2"/>
        <v>0.98</v>
      </c>
      <c r="K50" s="19">
        <f t="shared" si="2"/>
        <v>0.98</v>
      </c>
      <c r="L50" s="19">
        <f t="shared" si="2"/>
        <v>0.98</v>
      </c>
      <c r="M50" s="19">
        <f t="shared" si="2"/>
        <v>0.98</v>
      </c>
      <c r="N50" s="19">
        <f t="shared" si="2"/>
        <v>0.98</v>
      </c>
      <c r="O50" s="15"/>
      <c r="P50" s="15"/>
      <c r="Q50" s="15"/>
      <c r="R50" s="15"/>
      <c r="S50" s="15"/>
      <c r="T50" s="15"/>
      <c r="U50" s="1"/>
      <c r="V50" s="1"/>
    </row>
    <row r="51" spans="1:22" ht="20" customHeight="1">
      <c r="A51" s="1"/>
      <c r="B51" s="1"/>
      <c r="C51" s="1" t="s">
        <v>76</v>
      </c>
      <c r="D51" s="1"/>
      <c r="E51" s="16">
        <v>0.97</v>
      </c>
      <c r="F51" s="16">
        <v>0.97</v>
      </c>
      <c r="G51" s="16">
        <v>0.97</v>
      </c>
      <c r="H51" s="16">
        <v>0.97</v>
      </c>
      <c r="I51" s="16">
        <v>0.97</v>
      </c>
      <c r="J51" s="16">
        <v>0.97</v>
      </c>
      <c r="K51" s="16">
        <v>0.97</v>
      </c>
      <c r="L51" s="16">
        <v>0.97</v>
      </c>
      <c r="M51" s="16">
        <v>0.97</v>
      </c>
      <c r="N51" s="16">
        <v>0.97</v>
      </c>
      <c r="O51" s="15"/>
      <c r="P51" s="15"/>
      <c r="Q51" s="15"/>
      <c r="R51" s="15"/>
      <c r="S51" s="15"/>
      <c r="T51" s="15"/>
      <c r="U51" s="1"/>
      <c r="V51" s="1"/>
    </row>
    <row r="52" spans="1:22" ht="20" customHeight="1">
      <c r="A52" s="1"/>
      <c r="B52" s="1"/>
      <c r="C52" s="1" t="s">
        <v>77</v>
      </c>
      <c r="D52" s="1"/>
      <c r="E52" s="16">
        <v>0.98</v>
      </c>
      <c r="F52" s="16">
        <v>0.98</v>
      </c>
      <c r="G52" s="16">
        <v>0.98</v>
      </c>
      <c r="H52" s="16">
        <v>0.98</v>
      </c>
      <c r="I52" s="16">
        <v>0.98</v>
      </c>
      <c r="J52" s="16">
        <v>0.98</v>
      </c>
      <c r="K52" s="16">
        <v>0.98</v>
      </c>
      <c r="L52" s="16">
        <v>0.98</v>
      </c>
      <c r="M52" s="16">
        <v>0.98</v>
      </c>
      <c r="N52" s="16">
        <v>0.98</v>
      </c>
      <c r="O52" s="15"/>
      <c r="P52" s="15"/>
      <c r="Q52" s="15"/>
      <c r="R52" s="15"/>
      <c r="S52" s="15"/>
      <c r="T52" s="15"/>
      <c r="U52" s="1"/>
      <c r="V52" s="1"/>
    </row>
    <row r="53" spans="1:22" ht="20" customHeight="1">
      <c r="A53" s="1"/>
      <c r="B53" s="1"/>
      <c r="C53" s="1" t="s">
        <v>78</v>
      </c>
      <c r="D53" s="1"/>
      <c r="E53" s="16">
        <v>0.99</v>
      </c>
      <c r="F53" s="16">
        <v>0.99</v>
      </c>
      <c r="G53" s="16">
        <v>0.99</v>
      </c>
      <c r="H53" s="16">
        <v>0.99</v>
      </c>
      <c r="I53" s="16">
        <v>0.99</v>
      </c>
      <c r="J53" s="16">
        <v>0.99</v>
      </c>
      <c r="K53" s="16">
        <v>0.99</v>
      </c>
      <c r="L53" s="16">
        <v>0.99</v>
      </c>
      <c r="M53" s="16">
        <v>0.99</v>
      </c>
      <c r="N53" s="16">
        <v>0.99</v>
      </c>
      <c r="O53" s="15"/>
      <c r="P53" s="15"/>
      <c r="Q53" s="15"/>
      <c r="R53" s="15"/>
      <c r="S53" s="15"/>
      <c r="T53" s="15"/>
      <c r="U53" s="1"/>
      <c r="V53" s="1"/>
    </row>
    <row r="54" spans="1:22" ht="20" customHeight="1">
      <c r="A54" s="1"/>
      <c r="B54" s="1"/>
      <c r="C54" s="1"/>
      <c r="D54" s="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"/>
      <c r="V54" s="1"/>
    </row>
    <row r="55" spans="1:22" ht="20" customHeight="1">
      <c r="A55" s="1"/>
      <c r="B55" s="1"/>
      <c r="C55" s="7" t="s">
        <v>81</v>
      </c>
      <c r="D55" s="7"/>
      <c r="E55" s="19">
        <f t="shared" ref="E55:N55" si="3">IF(COUNT(INDEX(E56:E58,$E$5))=1,INDEX(E56:E58,$E$5),NA())</f>
        <v>0.5</v>
      </c>
      <c r="F55" s="19">
        <f t="shared" si="3"/>
        <v>0.5</v>
      </c>
      <c r="G55" s="19">
        <f t="shared" si="3"/>
        <v>0.5</v>
      </c>
      <c r="H55" s="19">
        <f t="shared" si="3"/>
        <v>0.5</v>
      </c>
      <c r="I55" s="19">
        <f t="shared" si="3"/>
        <v>0.5</v>
      </c>
      <c r="J55" s="19">
        <f t="shared" si="3"/>
        <v>0.5</v>
      </c>
      <c r="K55" s="19">
        <f t="shared" si="3"/>
        <v>0.5</v>
      </c>
      <c r="L55" s="19">
        <f t="shared" si="3"/>
        <v>0.5</v>
      </c>
      <c r="M55" s="19">
        <f t="shared" si="3"/>
        <v>0.5</v>
      </c>
      <c r="N55" s="19">
        <f t="shared" si="3"/>
        <v>0.5</v>
      </c>
      <c r="O55" s="15"/>
      <c r="P55" s="15"/>
      <c r="Q55" s="15"/>
      <c r="R55" s="15"/>
      <c r="S55" s="15"/>
      <c r="T55" s="15"/>
      <c r="U55" s="1"/>
      <c r="V55" s="1"/>
    </row>
    <row r="56" spans="1:22" ht="20" customHeight="1">
      <c r="A56" s="1"/>
      <c r="B56" s="1"/>
      <c r="C56" s="1" t="s">
        <v>76</v>
      </c>
      <c r="D56" s="1"/>
      <c r="E56" s="16">
        <v>0.45</v>
      </c>
      <c r="F56" s="16">
        <v>0.45</v>
      </c>
      <c r="G56" s="16">
        <v>0.45</v>
      </c>
      <c r="H56" s="16">
        <v>0.45</v>
      </c>
      <c r="I56" s="16">
        <v>0.45</v>
      </c>
      <c r="J56" s="16">
        <v>0.45</v>
      </c>
      <c r="K56" s="16">
        <v>0.45</v>
      </c>
      <c r="L56" s="16">
        <v>0.45</v>
      </c>
      <c r="M56" s="16">
        <v>0.45</v>
      </c>
      <c r="N56" s="16">
        <v>0.45</v>
      </c>
      <c r="O56" s="15"/>
      <c r="P56" s="15"/>
      <c r="Q56" s="15"/>
      <c r="R56" s="15"/>
      <c r="S56" s="15"/>
      <c r="T56" s="15"/>
      <c r="U56" s="1"/>
      <c r="V56" s="1"/>
    </row>
    <row r="57" spans="1:22" ht="20" customHeight="1">
      <c r="A57" s="1"/>
      <c r="B57" s="1"/>
      <c r="C57" s="1" t="s">
        <v>77</v>
      </c>
      <c r="D57" s="1"/>
      <c r="E57" s="16">
        <v>0.5</v>
      </c>
      <c r="F57" s="16">
        <v>0.5</v>
      </c>
      <c r="G57" s="16">
        <v>0.5</v>
      </c>
      <c r="H57" s="16">
        <v>0.5</v>
      </c>
      <c r="I57" s="16">
        <v>0.5</v>
      </c>
      <c r="J57" s="16">
        <v>0.5</v>
      </c>
      <c r="K57" s="16">
        <v>0.5</v>
      </c>
      <c r="L57" s="16">
        <v>0.5</v>
      </c>
      <c r="M57" s="16">
        <v>0.5</v>
      </c>
      <c r="N57" s="16">
        <v>0.5</v>
      </c>
      <c r="O57" s="15"/>
      <c r="P57" s="15"/>
      <c r="Q57" s="15"/>
      <c r="R57" s="15"/>
      <c r="S57" s="15"/>
      <c r="T57" s="15"/>
      <c r="U57" s="1"/>
      <c r="V57" s="1"/>
    </row>
    <row r="58" spans="1:22" ht="20" customHeight="1">
      <c r="A58" s="1"/>
      <c r="B58" s="1"/>
      <c r="C58" s="1" t="s">
        <v>78</v>
      </c>
      <c r="D58" s="1"/>
      <c r="E58" s="16">
        <v>0.6</v>
      </c>
      <c r="F58" s="16">
        <v>0.6</v>
      </c>
      <c r="G58" s="16">
        <v>0.6</v>
      </c>
      <c r="H58" s="16">
        <v>0.6</v>
      </c>
      <c r="I58" s="16">
        <v>0.6</v>
      </c>
      <c r="J58" s="16">
        <v>0.6</v>
      </c>
      <c r="K58" s="16">
        <v>0.6</v>
      </c>
      <c r="L58" s="16">
        <v>0.6</v>
      </c>
      <c r="M58" s="16">
        <v>0.6</v>
      </c>
      <c r="N58" s="16">
        <v>0.6</v>
      </c>
      <c r="O58" s="15"/>
      <c r="P58" s="15"/>
      <c r="Q58" s="15"/>
      <c r="R58" s="15"/>
      <c r="S58" s="15"/>
      <c r="T58" s="15"/>
      <c r="U58" s="1"/>
      <c r="V58" s="1"/>
    </row>
    <row r="59" spans="1:22" ht="20" customHeight="1">
      <c r="A59" s="1"/>
      <c r="B59" s="1"/>
      <c r="C59" s="1"/>
      <c r="D59" s="1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"/>
      <c r="V59" s="1"/>
    </row>
    <row r="60" spans="1:22" ht="20" customHeight="1">
      <c r="A60" s="1"/>
      <c r="B60" s="1"/>
      <c r="C60" s="7" t="s">
        <v>82</v>
      </c>
      <c r="D60" s="7"/>
      <c r="E60" s="14">
        <f t="shared" ref="E60:N60" si="4">IF(COUNT(INDEX(E61:E63,$E$5))=1,INDEX(E61:E63,$E$5),NA())</f>
        <v>3.2629999999999999</v>
      </c>
      <c r="F60" s="14">
        <f t="shared" si="4"/>
        <v>3.72</v>
      </c>
      <c r="G60" s="14">
        <f t="shared" si="4"/>
        <v>4.28</v>
      </c>
      <c r="H60" s="14">
        <f t="shared" si="4"/>
        <v>4.92</v>
      </c>
      <c r="I60" s="14">
        <f t="shared" si="4"/>
        <v>6.3</v>
      </c>
      <c r="J60" s="14">
        <f t="shared" si="4"/>
        <v>7.2</v>
      </c>
      <c r="K60" s="14">
        <f t="shared" si="4"/>
        <v>8</v>
      </c>
      <c r="L60" s="14">
        <f t="shared" si="4"/>
        <v>8.8000000000000007</v>
      </c>
      <c r="M60" s="14">
        <f t="shared" si="4"/>
        <v>9.6</v>
      </c>
      <c r="N60" s="14">
        <f t="shared" si="4"/>
        <v>10.4</v>
      </c>
      <c r="O60" s="15"/>
      <c r="P60" s="15"/>
      <c r="Q60" s="15"/>
      <c r="R60" s="15"/>
      <c r="S60" s="15"/>
      <c r="T60" s="15"/>
      <c r="U60" s="1"/>
      <c r="V60" s="1"/>
    </row>
    <row r="61" spans="1:22" ht="20" customHeight="1">
      <c r="A61" s="1"/>
      <c r="B61" s="1"/>
      <c r="C61" s="1" t="s">
        <v>76</v>
      </c>
      <c r="D61" s="1"/>
      <c r="E61" s="15">
        <v>3.2</v>
      </c>
      <c r="F61" s="15">
        <v>3.6</v>
      </c>
      <c r="G61" s="15">
        <v>4</v>
      </c>
      <c r="H61" s="15">
        <v>4.4000000000000004</v>
      </c>
      <c r="I61" s="15">
        <v>4.8</v>
      </c>
      <c r="J61" s="15">
        <v>5.2</v>
      </c>
      <c r="K61" s="15">
        <v>5.6</v>
      </c>
      <c r="L61" s="15">
        <v>6</v>
      </c>
      <c r="M61" s="15">
        <v>6.4</v>
      </c>
      <c r="N61" s="15">
        <v>6.8</v>
      </c>
      <c r="O61" s="15"/>
      <c r="P61" s="15"/>
      <c r="Q61" s="15"/>
      <c r="R61" s="15"/>
      <c r="S61" s="15"/>
      <c r="T61" s="15"/>
      <c r="U61" s="1"/>
      <c r="V61" s="1"/>
    </row>
    <row r="62" spans="1:22" ht="20" customHeight="1">
      <c r="A62" s="1"/>
      <c r="B62" s="1"/>
      <c r="C62" s="1" t="s">
        <v>77</v>
      </c>
      <c r="D62" s="1"/>
      <c r="E62" s="15">
        <v>3.2629999999999999</v>
      </c>
      <c r="F62" s="15">
        <v>3.72</v>
      </c>
      <c r="G62" s="15">
        <v>4.28</v>
      </c>
      <c r="H62" s="15">
        <v>4.92</v>
      </c>
      <c r="I62" s="15">
        <v>6.3</v>
      </c>
      <c r="J62" s="15">
        <v>7.2</v>
      </c>
      <c r="K62" s="15">
        <v>8</v>
      </c>
      <c r="L62" s="15">
        <v>8.8000000000000007</v>
      </c>
      <c r="M62" s="15">
        <v>9.6</v>
      </c>
      <c r="N62" s="15">
        <v>10.4</v>
      </c>
      <c r="O62" s="15"/>
      <c r="P62" s="15"/>
      <c r="Q62" s="15"/>
      <c r="R62" s="15"/>
      <c r="S62" s="15"/>
      <c r="T62" s="15"/>
      <c r="U62" s="1"/>
      <c r="V62" s="1"/>
    </row>
    <row r="63" spans="1:22" ht="20" customHeight="1">
      <c r="A63" s="1"/>
      <c r="B63" s="1"/>
      <c r="C63" s="1" t="s">
        <v>78</v>
      </c>
      <c r="D63" s="1"/>
      <c r="E63" s="15">
        <v>3.25</v>
      </c>
      <c r="F63" s="15">
        <v>3.7</v>
      </c>
      <c r="G63" s="15">
        <v>4.3</v>
      </c>
      <c r="H63" s="15">
        <v>5</v>
      </c>
      <c r="I63" s="15">
        <v>6</v>
      </c>
      <c r="J63" s="15">
        <v>7.5</v>
      </c>
      <c r="K63" s="15">
        <v>9</v>
      </c>
      <c r="L63" s="15">
        <v>10.5</v>
      </c>
      <c r="M63" s="15">
        <v>12</v>
      </c>
      <c r="N63" s="15">
        <v>14</v>
      </c>
      <c r="O63" s="15"/>
      <c r="P63" s="15"/>
      <c r="Q63" s="15"/>
      <c r="R63" s="15"/>
      <c r="S63" s="15"/>
      <c r="T63" s="15"/>
      <c r="U63" s="1"/>
      <c r="V63" s="1"/>
    </row>
    <row r="64" spans="1:22" ht="20" customHeight="1">
      <c r="A64" s="1"/>
      <c r="B64" s="1"/>
      <c r="C64" s="1"/>
      <c r="D64" s="1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"/>
      <c r="V64" s="1"/>
    </row>
    <row r="65" spans="1:22" ht="20" customHeight="1">
      <c r="A65" s="1"/>
      <c r="B65" s="1"/>
      <c r="C65" s="7" t="s">
        <v>83</v>
      </c>
      <c r="D65" s="7"/>
      <c r="E65" s="14">
        <f t="shared" ref="E65:N65" si="5">IF(COUNT(INDEX(E66:E68,$E$5))=1,INDEX(E66:E68,$E$5),NA())</f>
        <v>1.5</v>
      </c>
      <c r="F65" s="14">
        <f t="shared" si="5"/>
        <v>1.65</v>
      </c>
      <c r="G65" s="14">
        <f t="shared" si="5"/>
        <v>1.8</v>
      </c>
      <c r="H65" s="14">
        <f t="shared" si="5"/>
        <v>1.95</v>
      </c>
      <c r="I65" s="14">
        <f t="shared" si="5"/>
        <v>2</v>
      </c>
      <c r="J65" s="14">
        <f t="shared" si="5"/>
        <v>2.2000000000000002</v>
      </c>
      <c r="K65" s="14">
        <f t="shared" si="5"/>
        <v>2.4</v>
      </c>
      <c r="L65" s="14">
        <f t="shared" si="5"/>
        <v>2.6</v>
      </c>
      <c r="M65" s="14">
        <f t="shared" si="5"/>
        <v>2.8</v>
      </c>
      <c r="N65" s="14">
        <f t="shared" si="5"/>
        <v>3</v>
      </c>
      <c r="O65" s="15"/>
      <c r="P65" s="15"/>
      <c r="Q65" s="15"/>
      <c r="R65" s="15"/>
      <c r="S65" s="15"/>
      <c r="T65" s="15"/>
      <c r="U65" s="1"/>
      <c r="V65" s="1"/>
    </row>
    <row r="66" spans="1:22" ht="20" customHeight="1">
      <c r="A66" s="1"/>
      <c r="B66" s="1"/>
      <c r="C66" s="1" t="s">
        <v>76</v>
      </c>
      <c r="D66" s="1"/>
      <c r="E66" s="15">
        <v>1.5</v>
      </c>
      <c r="F66" s="15">
        <v>1.6</v>
      </c>
      <c r="G66" s="15">
        <v>1.7</v>
      </c>
      <c r="H66" s="15">
        <v>1.8</v>
      </c>
      <c r="I66" s="15">
        <v>1.9</v>
      </c>
      <c r="J66" s="15">
        <v>2</v>
      </c>
      <c r="K66" s="15">
        <v>2.1</v>
      </c>
      <c r="L66" s="15">
        <v>2.2000000000000002</v>
      </c>
      <c r="M66" s="15">
        <v>2.2999999999999998</v>
      </c>
      <c r="N66" s="15">
        <v>2.4</v>
      </c>
      <c r="O66" s="15"/>
      <c r="P66" s="15"/>
      <c r="Q66" s="15"/>
      <c r="R66" s="15"/>
      <c r="S66" s="15"/>
      <c r="T66" s="15"/>
      <c r="U66" s="1"/>
      <c r="V66" s="1"/>
    </row>
    <row r="67" spans="1:22" ht="20" customHeight="1">
      <c r="A67" s="1"/>
      <c r="B67" s="1"/>
      <c r="C67" s="1" t="s">
        <v>77</v>
      </c>
      <c r="D67" s="1"/>
      <c r="E67" s="15">
        <v>1.5</v>
      </c>
      <c r="F67" s="15">
        <v>1.65</v>
      </c>
      <c r="G67" s="15">
        <v>1.8</v>
      </c>
      <c r="H67" s="15">
        <v>1.95</v>
      </c>
      <c r="I67" s="15">
        <v>2</v>
      </c>
      <c r="J67" s="15">
        <v>2.2000000000000002</v>
      </c>
      <c r="K67" s="15">
        <v>2.4</v>
      </c>
      <c r="L67" s="15">
        <v>2.6</v>
      </c>
      <c r="M67" s="15">
        <v>2.8</v>
      </c>
      <c r="N67" s="15">
        <v>3</v>
      </c>
      <c r="O67" s="15"/>
      <c r="P67" s="15"/>
      <c r="Q67" s="15"/>
      <c r="R67" s="15"/>
      <c r="S67" s="15"/>
      <c r="T67" s="15"/>
      <c r="U67" s="1"/>
      <c r="V67" s="1"/>
    </row>
    <row r="68" spans="1:22" ht="20" customHeight="1">
      <c r="A68" s="1"/>
      <c r="B68" s="1"/>
      <c r="C68" s="1" t="s">
        <v>78</v>
      </c>
      <c r="D68" s="1"/>
      <c r="E68" s="15">
        <v>1.4</v>
      </c>
      <c r="F68" s="15">
        <v>1.5</v>
      </c>
      <c r="G68" s="15">
        <v>1.6</v>
      </c>
      <c r="H68" s="15">
        <v>1.7</v>
      </c>
      <c r="I68" s="15">
        <v>1.8</v>
      </c>
      <c r="J68" s="15">
        <v>2</v>
      </c>
      <c r="K68" s="15">
        <v>2.2000000000000002</v>
      </c>
      <c r="L68" s="15">
        <v>2.4</v>
      </c>
      <c r="M68" s="15">
        <v>2.6</v>
      </c>
      <c r="N68" s="15">
        <v>2.8</v>
      </c>
      <c r="O68" s="15"/>
      <c r="P68" s="15"/>
      <c r="Q68" s="15"/>
      <c r="R68" s="15"/>
      <c r="S68" s="15"/>
      <c r="T68" s="15"/>
      <c r="U68" s="1"/>
      <c r="V68" s="1"/>
    </row>
    <row r="69" spans="1:22" ht="20" customHeight="1">
      <c r="A69" s="1"/>
      <c r="B69" s="1"/>
      <c r="C69" s="1"/>
      <c r="D69" s="1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"/>
      <c r="V69" s="1"/>
    </row>
    <row r="70" spans="1:22" ht="20" customHeight="1">
      <c r="A70" s="1"/>
      <c r="B70" s="1"/>
      <c r="C70" s="7" t="s">
        <v>84</v>
      </c>
      <c r="D70" s="7"/>
      <c r="E70" s="19">
        <f t="shared" ref="E70:N70" si="6">IF(COUNT(INDEX(E71:E73,$E$5))=1,INDEX(E71:E73,$E$5),NA())</f>
        <v>0.08</v>
      </c>
      <c r="F70" s="19">
        <f t="shared" si="6"/>
        <v>0.08</v>
      </c>
      <c r="G70" s="19">
        <f t="shared" si="6"/>
        <v>0.08</v>
      </c>
      <c r="H70" s="19">
        <f t="shared" si="6"/>
        <v>0.08</v>
      </c>
      <c r="I70" s="19">
        <f t="shared" si="6"/>
        <v>0.08</v>
      </c>
      <c r="J70" s="19">
        <f t="shared" si="6"/>
        <v>0.08</v>
      </c>
      <c r="K70" s="19">
        <f t="shared" si="6"/>
        <v>0.08</v>
      </c>
      <c r="L70" s="19">
        <f t="shared" si="6"/>
        <v>0.08</v>
      </c>
      <c r="M70" s="19">
        <f t="shared" si="6"/>
        <v>0.08</v>
      </c>
      <c r="N70" s="19">
        <f t="shared" si="6"/>
        <v>0.08</v>
      </c>
      <c r="O70" s="15"/>
      <c r="P70" s="15"/>
      <c r="Q70" s="15"/>
      <c r="R70" s="15"/>
      <c r="S70" s="15"/>
      <c r="T70" s="15"/>
      <c r="U70" s="1"/>
      <c r="V70" s="1"/>
    </row>
    <row r="71" spans="1:22" ht="20" customHeight="1">
      <c r="A71" s="1"/>
      <c r="B71" s="1"/>
      <c r="C71" s="1" t="s">
        <v>76</v>
      </c>
      <c r="D71" s="1"/>
      <c r="E71" s="16">
        <v>0.08</v>
      </c>
      <c r="F71" s="16">
        <v>0.08</v>
      </c>
      <c r="G71" s="16">
        <v>0.08</v>
      </c>
      <c r="H71" s="16">
        <v>0.08</v>
      </c>
      <c r="I71" s="16">
        <v>0.08</v>
      </c>
      <c r="J71" s="16">
        <v>0.08</v>
      </c>
      <c r="K71" s="16">
        <v>0.08</v>
      </c>
      <c r="L71" s="16">
        <v>0.08</v>
      </c>
      <c r="M71" s="16">
        <v>0.08</v>
      </c>
      <c r="N71" s="16">
        <v>0.08</v>
      </c>
      <c r="O71" s="15"/>
      <c r="P71" s="15"/>
      <c r="Q71" s="15"/>
      <c r="R71" s="15"/>
      <c r="S71" s="15"/>
      <c r="T71" s="15"/>
      <c r="U71" s="1"/>
      <c r="V71" s="1"/>
    </row>
    <row r="72" spans="1:22" ht="20" customHeight="1">
      <c r="A72" s="1"/>
      <c r="B72" s="1"/>
      <c r="C72" s="1" t="s">
        <v>77</v>
      </c>
      <c r="D72" s="1"/>
      <c r="E72" s="16">
        <v>0.08</v>
      </c>
      <c r="F72" s="16">
        <v>0.08</v>
      </c>
      <c r="G72" s="16">
        <v>0.08</v>
      </c>
      <c r="H72" s="16">
        <v>0.08</v>
      </c>
      <c r="I72" s="16">
        <v>0.08</v>
      </c>
      <c r="J72" s="16">
        <v>0.08</v>
      </c>
      <c r="K72" s="16">
        <v>0.08</v>
      </c>
      <c r="L72" s="16">
        <v>0.08</v>
      </c>
      <c r="M72" s="16">
        <v>0.08</v>
      </c>
      <c r="N72" s="16">
        <v>0.08</v>
      </c>
      <c r="O72" s="15"/>
      <c r="P72" s="15"/>
      <c r="Q72" s="15"/>
      <c r="R72" s="15"/>
      <c r="S72" s="15"/>
      <c r="T72" s="15"/>
      <c r="U72" s="1"/>
      <c r="V72" s="1"/>
    </row>
    <row r="73" spans="1:22" ht="20" customHeight="1">
      <c r="A73" s="1"/>
      <c r="B73" s="1"/>
      <c r="C73" s="1" t="s">
        <v>78</v>
      </c>
      <c r="D73" s="1"/>
      <c r="E73" s="16">
        <v>0.08</v>
      </c>
      <c r="F73" s="16">
        <v>0.08</v>
      </c>
      <c r="G73" s="16">
        <v>0.08</v>
      </c>
      <c r="H73" s="16">
        <v>0.08</v>
      </c>
      <c r="I73" s="16">
        <v>0.08</v>
      </c>
      <c r="J73" s="16">
        <v>0.08</v>
      </c>
      <c r="K73" s="16">
        <v>0.08</v>
      </c>
      <c r="L73" s="16">
        <v>0.08</v>
      </c>
      <c r="M73" s="16">
        <v>0.08</v>
      </c>
      <c r="N73" s="16">
        <v>0.08</v>
      </c>
      <c r="O73" s="15"/>
      <c r="P73" s="15"/>
      <c r="Q73" s="15"/>
      <c r="R73" s="15"/>
      <c r="S73" s="15"/>
      <c r="T73" s="15"/>
      <c r="U73" s="1"/>
      <c r="V73" s="1"/>
    </row>
    <row r="74" spans="1:22" ht="20" customHeight="1">
      <c r="A74" s="1"/>
      <c r="B74" s="1"/>
      <c r="C74" s="1"/>
      <c r="D74" s="1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"/>
      <c r="V74" s="1"/>
    </row>
    <row r="75" spans="1:22" ht="20" customHeight="1">
      <c r="A75" s="1"/>
      <c r="B75" s="1"/>
      <c r="C75" s="7" t="s">
        <v>85</v>
      </c>
      <c r="D75" s="7"/>
      <c r="E75" s="19">
        <f t="shared" ref="E75:N75" si="7">IF(COUNT(INDEX(E76:E78,$E$5))=1,INDEX(E76:E78,$E$5),NA())</f>
        <v>0.04</v>
      </c>
      <c r="F75" s="19">
        <f t="shared" si="7"/>
        <v>0.04</v>
      </c>
      <c r="G75" s="19">
        <f t="shared" si="7"/>
        <v>0.04</v>
      </c>
      <c r="H75" s="19">
        <f t="shared" si="7"/>
        <v>0.04</v>
      </c>
      <c r="I75" s="19">
        <f t="shared" si="7"/>
        <v>0.04</v>
      </c>
      <c r="J75" s="19">
        <f t="shared" si="7"/>
        <v>0.04</v>
      </c>
      <c r="K75" s="19">
        <f t="shared" si="7"/>
        <v>0.04</v>
      </c>
      <c r="L75" s="19">
        <f t="shared" si="7"/>
        <v>0.04</v>
      </c>
      <c r="M75" s="19">
        <f t="shared" si="7"/>
        <v>0.04</v>
      </c>
      <c r="N75" s="19">
        <f t="shared" si="7"/>
        <v>0.04</v>
      </c>
      <c r="O75" s="15"/>
      <c r="P75" s="15"/>
      <c r="Q75" s="15"/>
      <c r="R75" s="15"/>
      <c r="S75" s="15"/>
      <c r="T75" s="15"/>
      <c r="U75" s="1"/>
      <c r="V75" s="1"/>
    </row>
    <row r="76" spans="1:22" ht="20" customHeight="1">
      <c r="A76" s="1"/>
      <c r="B76" s="1"/>
      <c r="C76" s="1" t="s">
        <v>76</v>
      </c>
      <c r="D76" s="1"/>
      <c r="E76" s="16">
        <v>0.04</v>
      </c>
      <c r="F76" s="16">
        <v>0.04</v>
      </c>
      <c r="G76" s="16">
        <v>0.04</v>
      </c>
      <c r="H76" s="16">
        <v>0.04</v>
      </c>
      <c r="I76" s="16">
        <v>0.04</v>
      </c>
      <c r="J76" s="16">
        <v>0.04</v>
      </c>
      <c r="K76" s="16">
        <v>0.04</v>
      </c>
      <c r="L76" s="16">
        <v>0.04</v>
      </c>
      <c r="M76" s="16">
        <v>0.04</v>
      </c>
      <c r="N76" s="16">
        <v>0.04</v>
      </c>
      <c r="O76" s="15"/>
      <c r="P76" s="15"/>
      <c r="Q76" s="15"/>
      <c r="R76" s="15"/>
      <c r="S76" s="15"/>
      <c r="T76" s="15"/>
      <c r="U76" s="1"/>
      <c r="V76" s="1"/>
    </row>
    <row r="77" spans="1:22" ht="20" customHeight="1">
      <c r="A77" s="1"/>
      <c r="B77" s="1"/>
      <c r="C77" s="1" t="s">
        <v>77</v>
      </c>
      <c r="D77" s="1"/>
      <c r="E77" s="16">
        <v>0.04</v>
      </c>
      <c r="F77" s="16">
        <v>0.04</v>
      </c>
      <c r="G77" s="16">
        <v>0.04</v>
      </c>
      <c r="H77" s="16">
        <v>0.04</v>
      </c>
      <c r="I77" s="16">
        <v>0.04</v>
      </c>
      <c r="J77" s="16">
        <v>0.04</v>
      </c>
      <c r="K77" s="16">
        <v>0.04</v>
      </c>
      <c r="L77" s="16">
        <v>0.04</v>
      </c>
      <c r="M77" s="16">
        <v>0.04</v>
      </c>
      <c r="N77" s="16">
        <v>0.04</v>
      </c>
      <c r="O77" s="15"/>
      <c r="P77" s="15"/>
      <c r="Q77" s="15"/>
      <c r="R77" s="15"/>
      <c r="S77" s="15"/>
      <c r="T77" s="15"/>
      <c r="U77" s="1"/>
      <c r="V77" s="1"/>
    </row>
    <row r="78" spans="1:22" ht="20" customHeight="1">
      <c r="A78" s="1"/>
      <c r="B78" s="1"/>
      <c r="C78" s="1" t="s">
        <v>78</v>
      </c>
      <c r="D78" s="1"/>
      <c r="E78" s="16">
        <v>0.04</v>
      </c>
      <c r="F78" s="16">
        <v>0.04</v>
      </c>
      <c r="G78" s="16">
        <v>0.04</v>
      </c>
      <c r="H78" s="16">
        <v>0.04</v>
      </c>
      <c r="I78" s="16">
        <v>0.04</v>
      </c>
      <c r="J78" s="16">
        <v>0.04</v>
      </c>
      <c r="K78" s="16">
        <v>0.04</v>
      </c>
      <c r="L78" s="16">
        <v>0.04</v>
      </c>
      <c r="M78" s="16">
        <v>0.04</v>
      </c>
      <c r="N78" s="16">
        <v>0.04</v>
      </c>
      <c r="O78" s="15"/>
      <c r="P78" s="15"/>
      <c r="Q78" s="15"/>
      <c r="R78" s="15"/>
      <c r="S78" s="15"/>
      <c r="T78" s="15"/>
      <c r="U78" s="1"/>
      <c r="V78" s="1"/>
    </row>
    <row r="79" spans="1:22" ht="20" customHeight="1">
      <c r="A79" s="1"/>
      <c r="B79" s="1"/>
      <c r="C79" s="1"/>
      <c r="D79" s="1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"/>
      <c r="V79" s="1"/>
    </row>
    <row r="80" spans="1:22" ht="20" customHeight="1">
      <c r="A80" s="1"/>
      <c r="B80" s="1"/>
      <c r="C80" s="7" t="s">
        <v>86</v>
      </c>
      <c r="D80" s="7"/>
      <c r="E80" s="19">
        <f t="shared" ref="E80:N80" si="8">IF(COUNT(INDEX(E81:E83,$E$5))=1,INDEX(E81:E83,$E$5),NA())</f>
        <v>0.2</v>
      </c>
      <c r="F80" s="19">
        <f t="shared" si="8"/>
        <v>0.2</v>
      </c>
      <c r="G80" s="19">
        <f t="shared" si="8"/>
        <v>0.2</v>
      </c>
      <c r="H80" s="19">
        <f t="shared" si="8"/>
        <v>0.2</v>
      </c>
      <c r="I80" s="19">
        <f t="shared" si="8"/>
        <v>0.2</v>
      </c>
      <c r="J80" s="19">
        <f t="shared" si="8"/>
        <v>0.2</v>
      </c>
      <c r="K80" s="19">
        <f t="shared" si="8"/>
        <v>0.2</v>
      </c>
      <c r="L80" s="19">
        <f t="shared" si="8"/>
        <v>0.2</v>
      </c>
      <c r="M80" s="19">
        <f t="shared" si="8"/>
        <v>0.2</v>
      </c>
      <c r="N80" s="19">
        <f t="shared" si="8"/>
        <v>0.2</v>
      </c>
      <c r="O80" s="15"/>
      <c r="P80" s="15"/>
      <c r="Q80" s="15"/>
      <c r="R80" s="15"/>
      <c r="S80" s="15"/>
      <c r="T80" s="15"/>
      <c r="U80" s="1"/>
      <c r="V80" s="1"/>
    </row>
    <row r="81" spans="1:22" ht="20" customHeight="1">
      <c r="A81" s="1"/>
      <c r="B81" s="1"/>
      <c r="C81" s="1" t="s">
        <v>76</v>
      </c>
      <c r="D81" s="1"/>
      <c r="E81" s="16">
        <v>0.2</v>
      </c>
      <c r="F81" s="16">
        <v>0.2</v>
      </c>
      <c r="G81" s="16">
        <v>0.2</v>
      </c>
      <c r="H81" s="16">
        <v>0.2</v>
      </c>
      <c r="I81" s="16">
        <v>0.2</v>
      </c>
      <c r="J81" s="16">
        <v>0.2</v>
      </c>
      <c r="K81" s="16">
        <v>0.2</v>
      </c>
      <c r="L81" s="16">
        <v>0.2</v>
      </c>
      <c r="M81" s="16">
        <v>0.2</v>
      </c>
      <c r="N81" s="16">
        <v>0.2</v>
      </c>
      <c r="O81" s="15"/>
      <c r="P81" s="15"/>
      <c r="Q81" s="15"/>
      <c r="R81" s="15"/>
      <c r="S81" s="15"/>
      <c r="T81" s="15"/>
      <c r="U81" s="1"/>
      <c r="V81" s="1"/>
    </row>
    <row r="82" spans="1:22" ht="20" customHeight="1">
      <c r="A82" s="1"/>
      <c r="B82" s="1"/>
      <c r="C82" s="1" t="s">
        <v>77</v>
      </c>
      <c r="D82" s="1"/>
      <c r="E82" s="16">
        <v>0.2</v>
      </c>
      <c r="F82" s="16">
        <v>0.2</v>
      </c>
      <c r="G82" s="16">
        <v>0.2</v>
      </c>
      <c r="H82" s="16">
        <v>0.2</v>
      </c>
      <c r="I82" s="16">
        <v>0.2</v>
      </c>
      <c r="J82" s="16">
        <v>0.2</v>
      </c>
      <c r="K82" s="16">
        <v>0.2</v>
      </c>
      <c r="L82" s="16">
        <v>0.2</v>
      </c>
      <c r="M82" s="16">
        <v>0.2</v>
      </c>
      <c r="N82" s="16">
        <v>0.2</v>
      </c>
      <c r="O82" s="15"/>
      <c r="P82" s="15"/>
      <c r="Q82" s="15"/>
      <c r="R82" s="15"/>
      <c r="S82" s="15"/>
      <c r="T82" s="15"/>
      <c r="U82" s="1"/>
      <c r="V82" s="1"/>
    </row>
    <row r="83" spans="1:22" ht="20" customHeight="1">
      <c r="A83" s="1"/>
      <c r="B83" s="1"/>
      <c r="C83" s="1" t="s">
        <v>78</v>
      </c>
      <c r="D83" s="1"/>
      <c r="E83" s="16">
        <v>0.2</v>
      </c>
      <c r="F83" s="16">
        <v>0.2</v>
      </c>
      <c r="G83" s="16">
        <v>0.2</v>
      </c>
      <c r="H83" s="16">
        <v>0.2</v>
      </c>
      <c r="I83" s="16">
        <v>0.2</v>
      </c>
      <c r="J83" s="16">
        <v>0.2</v>
      </c>
      <c r="K83" s="16">
        <v>0.2</v>
      </c>
      <c r="L83" s="16">
        <v>0.2</v>
      </c>
      <c r="M83" s="16">
        <v>0.2</v>
      </c>
      <c r="N83" s="16">
        <v>0.2</v>
      </c>
      <c r="O83" s="15"/>
      <c r="P83" s="15"/>
      <c r="Q83" s="15"/>
      <c r="R83" s="15"/>
      <c r="S83" s="15"/>
      <c r="T83" s="15"/>
      <c r="U83" s="1"/>
      <c r="V83" s="1"/>
    </row>
    <row r="84" spans="1:22" ht="20" customHeight="1">
      <c r="A84" s="1"/>
      <c r="B84" s="1"/>
      <c r="C84" s="1"/>
      <c r="D84" s="1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"/>
      <c r="V84" s="1"/>
    </row>
    <row r="85" spans="1:22" ht="20" customHeight="1">
      <c r="A85" s="1"/>
      <c r="B85" s="1"/>
      <c r="C85" s="7" t="s">
        <v>87</v>
      </c>
      <c r="D85" s="7"/>
      <c r="E85" s="19">
        <f t="shared" ref="E85:N85" si="9">IF(COUNT(INDEX(E86:E88,$E$5))=1,INDEX(E86:E88,$E$5),NA())</f>
        <v>0.77954545454545465</v>
      </c>
      <c r="F85" s="19">
        <f t="shared" si="9"/>
        <v>0.77954545454545465</v>
      </c>
      <c r="G85" s="19">
        <f t="shared" si="9"/>
        <v>0.77954545454545465</v>
      </c>
      <c r="H85" s="19">
        <f t="shared" si="9"/>
        <v>0.77954545454545465</v>
      </c>
      <c r="I85" s="19">
        <f t="shared" si="9"/>
        <v>0.77954545454545465</v>
      </c>
      <c r="J85" s="19">
        <f t="shared" si="9"/>
        <v>0.77954545454545465</v>
      </c>
      <c r="K85" s="19">
        <f t="shared" si="9"/>
        <v>0.77954545454545465</v>
      </c>
      <c r="L85" s="19">
        <f t="shared" si="9"/>
        <v>0.77954545454545465</v>
      </c>
      <c r="M85" s="19">
        <f t="shared" si="9"/>
        <v>0.77954545454545465</v>
      </c>
      <c r="N85" s="19">
        <f t="shared" si="9"/>
        <v>0.77954545454545465</v>
      </c>
      <c r="O85" s="15"/>
      <c r="P85" s="15"/>
      <c r="Q85" s="15"/>
      <c r="R85" s="15"/>
      <c r="S85" s="15"/>
      <c r="T85" s="15"/>
      <c r="U85" s="1"/>
      <c r="V85" s="1"/>
    </row>
    <row r="86" spans="1:22" ht="20" customHeight="1">
      <c r="A86" s="1"/>
      <c r="B86" s="1"/>
      <c r="C86" s="1" t="s">
        <v>76</v>
      </c>
      <c r="D86" s="1"/>
      <c r="E86" s="16">
        <v>0.77954545454545465</v>
      </c>
      <c r="F86" s="16">
        <v>0.77954545454545465</v>
      </c>
      <c r="G86" s="16">
        <v>0.77954545454545465</v>
      </c>
      <c r="H86" s="16">
        <v>0.77954545454545465</v>
      </c>
      <c r="I86" s="16">
        <v>0.77954545454545465</v>
      </c>
      <c r="J86" s="16">
        <v>0.77954545454545465</v>
      </c>
      <c r="K86" s="16">
        <v>0.77954545454545465</v>
      </c>
      <c r="L86" s="16">
        <v>0.77954545454545465</v>
      </c>
      <c r="M86" s="16">
        <v>0.77954545454545465</v>
      </c>
      <c r="N86" s="16">
        <v>0.77954545454545465</v>
      </c>
      <c r="O86" s="15"/>
      <c r="P86" s="15"/>
      <c r="Q86" s="15"/>
      <c r="R86" s="15"/>
      <c r="S86" s="15"/>
      <c r="T86" s="15"/>
      <c r="U86" s="1"/>
      <c r="V86" s="1"/>
    </row>
    <row r="87" spans="1:22" ht="20" customHeight="1">
      <c r="A87" s="1"/>
      <c r="B87" s="1"/>
      <c r="C87" s="1" t="s">
        <v>77</v>
      </c>
      <c r="D87" s="1"/>
      <c r="E87" s="16">
        <v>0.77954545454545465</v>
      </c>
      <c r="F87" s="16">
        <v>0.77954545454545465</v>
      </c>
      <c r="G87" s="16">
        <v>0.77954545454545465</v>
      </c>
      <c r="H87" s="16">
        <v>0.77954545454545465</v>
      </c>
      <c r="I87" s="16">
        <v>0.77954545454545465</v>
      </c>
      <c r="J87" s="16">
        <v>0.77954545454545465</v>
      </c>
      <c r="K87" s="16">
        <v>0.77954545454545465</v>
      </c>
      <c r="L87" s="16">
        <v>0.77954545454545465</v>
      </c>
      <c r="M87" s="16">
        <v>0.77954545454545465</v>
      </c>
      <c r="N87" s="16">
        <v>0.77954545454545465</v>
      </c>
      <c r="O87" s="15"/>
      <c r="P87" s="15"/>
      <c r="Q87" s="15"/>
      <c r="R87" s="15"/>
      <c r="S87" s="15"/>
      <c r="T87" s="15"/>
      <c r="U87" s="1"/>
      <c r="V87" s="1"/>
    </row>
    <row r="88" spans="1:22" ht="20" customHeight="1">
      <c r="A88" s="1"/>
      <c r="B88" s="1"/>
      <c r="C88" s="1" t="s">
        <v>78</v>
      </c>
      <c r="D88" s="1"/>
      <c r="E88" s="16">
        <v>0.77954545454545465</v>
      </c>
      <c r="F88" s="16">
        <v>0.77954545454545465</v>
      </c>
      <c r="G88" s="16">
        <v>0.77954545454545465</v>
      </c>
      <c r="H88" s="16">
        <v>0.77954545454545465</v>
      </c>
      <c r="I88" s="16">
        <v>0.77954545454545465</v>
      </c>
      <c r="J88" s="16">
        <v>0.77954545454545465</v>
      </c>
      <c r="K88" s="16">
        <v>0.77954545454545465</v>
      </c>
      <c r="L88" s="16">
        <v>0.77954545454545465</v>
      </c>
      <c r="M88" s="16">
        <v>0.77954545454545465</v>
      </c>
      <c r="N88" s="16">
        <v>0.77954545454545465</v>
      </c>
      <c r="O88" s="15"/>
      <c r="P88" s="15"/>
      <c r="Q88" s="15"/>
      <c r="R88" s="15"/>
      <c r="S88" s="15"/>
      <c r="T88" s="15"/>
      <c r="U88" s="1"/>
      <c r="V88" s="1"/>
    </row>
    <row r="89" spans="1:22" ht="20" customHeight="1">
      <c r="A89" s="1"/>
      <c r="B89" s="1"/>
      <c r="C89" s="1"/>
      <c r="D89" s="1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"/>
      <c r="V89" s="1"/>
    </row>
    <row r="90" spans="1:22" ht="20" customHeight="1">
      <c r="A90" s="1"/>
      <c r="B90" s="1"/>
      <c r="C90" s="7" t="s">
        <v>88</v>
      </c>
      <c r="D90" s="7"/>
      <c r="E90" s="19">
        <f t="shared" ref="E90:N90" si="10">IF(COUNT(INDEX(E91:E93,$E$5))=1,INDEX(E91:E93,$E$5),NA())</f>
        <v>0.115</v>
      </c>
      <c r="F90" s="19">
        <f t="shared" si="10"/>
        <v>0.115</v>
      </c>
      <c r="G90" s="19">
        <f t="shared" si="10"/>
        <v>0.115</v>
      </c>
      <c r="H90" s="19">
        <f t="shared" si="10"/>
        <v>0.115</v>
      </c>
      <c r="I90" s="19">
        <f t="shared" si="10"/>
        <v>0.115</v>
      </c>
      <c r="J90" s="19">
        <f t="shared" si="10"/>
        <v>0.115</v>
      </c>
      <c r="K90" s="19">
        <f t="shared" si="10"/>
        <v>0.115</v>
      </c>
      <c r="L90" s="19">
        <f t="shared" si="10"/>
        <v>0.115</v>
      </c>
      <c r="M90" s="19">
        <f t="shared" si="10"/>
        <v>0.115</v>
      </c>
      <c r="N90" s="19">
        <f t="shared" si="10"/>
        <v>0.115</v>
      </c>
      <c r="O90" s="15"/>
      <c r="P90" s="15"/>
      <c r="Q90" s="15"/>
      <c r="R90" s="15"/>
      <c r="S90" s="15"/>
      <c r="T90" s="15"/>
      <c r="U90" s="1"/>
      <c r="V90" s="1"/>
    </row>
    <row r="91" spans="1:22" ht="20" customHeight="1">
      <c r="A91" s="1"/>
      <c r="B91" s="1"/>
      <c r="C91" s="1" t="s">
        <v>76</v>
      </c>
      <c r="D91" s="1"/>
      <c r="E91" s="16">
        <v>0.13</v>
      </c>
      <c r="F91" s="16">
        <v>0.13</v>
      </c>
      <c r="G91" s="16">
        <v>0.13</v>
      </c>
      <c r="H91" s="16">
        <v>0.13</v>
      </c>
      <c r="I91" s="16">
        <v>0.13</v>
      </c>
      <c r="J91" s="16">
        <v>0.13</v>
      </c>
      <c r="K91" s="16">
        <v>0.13</v>
      </c>
      <c r="L91" s="16">
        <v>0.13</v>
      </c>
      <c r="M91" s="16">
        <v>0.13</v>
      </c>
      <c r="N91" s="16">
        <v>0.13</v>
      </c>
      <c r="O91" s="15"/>
      <c r="P91" s="15"/>
      <c r="Q91" s="15"/>
      <c r="R91" s="15"/>
      <c r="S91" s="15"/>
      <c r="T91" s="15"/>
      <c r="U91" s="1"/>
      <c r="V91" s="1"/>
    </row>
    <row r="92" spans="1:22" ht="20" customHeight="1">
      <c r="A92" s="1"/>
      <c r="B92" s="1"/>
      <c r="C92" s="1" t="s">
        <v>77</v>
      </c>
      <c r="D92" s="1"/>
      <c r="E92" s="16">
        <v>0.115</v>
      </c>
      <c r="F92" s="16">
        <v>0.115</v>
      </c>
      <c r="G92" s="16">
        <v>0.115</v>
      </c>
      <c r="H92" s="16">
        <v>0.115</v>
      </c>
      <c r="I92" s="16">
        <v>0.115</v>
      </c>
      <c r="J92" s="16">
        <v>0.115</v>
      </c>
      <c r="K92" s="16">
        <v>0.115</v>
      </c>
      <c r="L92" s="16">
        <v>0.115</v>
      </c>
      <c r="M92" s="16">
        <v>0.115</v>
      </c>
      <c r="N92" s="16">
        <v>0.115</v>
      </c>
      <c r="O92" s="15"/>
      <c r="P92" s="15"/>
      <c r="Q92" s="15"/>
      <c r="R92" s="15"/>
      <c r="S92" s="15"/>
      <c r="T92" s="15"/>
      <c r="U92" s="1"/>
      <c r="V92" s="1"/>
    </row>
    <row r="93" spans="1:22" ht="20" customHeight="1">
      <c r="A93" s="1"/>
      <c r="B93" s="1"/>
      <c r="C93" s="1" t="s">
        <v>78</v>
      </c>
      <c r="D93" s="1"/>
      <c r="E93" s="16">
        <v>9.5000000000000001E-2</v>
      </c>
      <c r="F93" s="16">
        <v>9.5000000000000001E-2</v>
      </c>
      <c r="G93" s="16">
        <v>9.5000000000000001E-2</v>
      </c>
      <c r="H93" s="16">
        <v>9.5000000000000001E-2</v>
      </c>
      <c r="I93" s="16">
        <v>9.5000000000000001E-2</v>
      </c>
      <c r="J93" s="16">
        <v>9.5000000000000001E-2</v>
      </c>
      <c r="K93" s="16">
        <v>9.5000000000000001E-2</v>
      </c>
      <c r="L93" s="16">
        <v>9.5000000000000001E-2</v>
      </c>
      <c r="M93" s="16">
        <v>9.5000000000000001E-2</v>
      </c>
      <c r="N93" s="16">
        <v>9.5000000000000001E-2</v>
      </c>
      <c r="O93" s="15"/>
      <c r="P93" s="15"/>
      <c r="Q93" s="15"/>
      <c r="R93" s="15"/>
      <c r="S93" s="15"/>
      <c r="T93" s="15"/>
      <c r="U93" s="1"/>
      <c r="V93" s="1"/>
    </row>
    <row r="94" spans="1:22" ht="20" customHeight="1">
      <c r="A94" s="1"/>
      <c r="B94" s="1"/>
      <c r="C94" s="1"/>
      <c r="D94" s="1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"/>
      <c r="V94" s="1"/>
    </row>
    <row r="95" spans="1:22" ht="20" customHeight="1">
      <c r="A95" s="1"/>
      <c r="B95" s="1"/>
      <c r="C95" s="7" t="s">
        <v>89</v>
      </c>
      <c r="D95" s="7"/>
      <c r="E95" s="19">
        <f t="shared" ref="E95:N95" si="11">IF(COUNT(INDEX(E96:E98,$E$5))=1,INDEX(E96:E98,$E$5),NA())</f>
        <v>0.59027777777777779</v>
      </c>
      <c r="F95" s="19">
        <f t="shared" si="11"/>
        <v>0.60431654676258995</v>
      </c>
      <c r="G95" s="19">
        <f t="shared" si="11"/>
        <v>0.61250000000000004</v>
      </c>
      <c r="H95" s="19">
        <f t="shared" si="11"/>
        <v>0.61538461538461542</v>
      </c>
      <c r="I95" s="19">
        <f t="shared" si="11"/>
        <v>0.62</v>
      </c>
      <c r="J95" s="19">
        <f t="shared" si="11"/>
        <v>0.62</v>
      </c>
      <c r="K95" s="19">
        <f t="shared" si="11"/>
        <v>0.62</v>
      </c>
      <c r="L95" s="19">
        <f t="shared" si="11"/>
        <v>0.62</v>
      </c>
      <c r="M95" s="19">
        <f t="shared" si="11"/>
        <v>0.62</v>
      </c>
      <c r="N95" s="19">
        <f t="shared" si="11"/>
        <v>0.62</v>
      </c>
      <c r="O95" s="15"/>
      <c r="P95" s="15"/>
      <c r="Q95" s="15"/>
      <c r="R95" s="15"/>
      <c r="S95" s="15"/>
      <c r="T95" s="15"/>
      <c r="U95" s="1"/>
      <c r="V95" s="1"/>
    </row>
    <row r="96" spans="1:22" ht="20" customHeight="1">
      <c r="A96" s="1"/>
      <c r="B96" s="1"/>
      <c r="C96" s="1" t="s">
        <v>76</v>
      </c>
      <c r="D96" s="1"/>
      <c r="E96" s="16">
        <v>0.59027777777777779</v>
      </c>
      <c r="F96" s="16">
        <v>0.60431654676258995</v>
      </c>
      <c r="G96" s="16">
        <v>0.61250000000000004</v>
      </c>
      <c r="H96" s="16">
        <v>0.61538461538461542</v>
      </c>
      <c r="I96" s="16">
        <v>0.62</v>
      </c>
      <c r="J96" s="16">
        <v>0.62</v>
      </c>
      <c r="K96" s="16">
        <v>0.62</v>
      </c>
      <c r="L96" s="16">
        <v>0.62</v>
      </c>
      <c r="M96" s="16">
        <v>0.62</v>
      </c>
      <c r="N96" s="16">
        <v>0.62</v>
      </c>
      <c r="O96" s="15"/>
      <c r="P96" s="15"/>
      <c r="Q96" s="15"/>
      <c r="R96" s="15"/>
      <c r="S96" s="15"/>
      <c r="T96" s="15"/>
      <c r="U96" s="1"/>
      <c r="V96" s="1"/>
    </row>
    <row r="97" spans="1:22" ht="20" customHeight="1">
      <c r="A97" s="1"/>
      <c r="B97" s="1"/>
      <c r="C97" s="1" t="s">
        <v>77</v>
      </c>
      <c r="D97" s="1"/>
      <c r="E97" s="16">
        <v>0.59027777777777779</v>
      </c>
      <c r="F97" s="16">
        <v>0.60431654676258995</v>
      </c>
      <c r="G97" s="16">
        <v>0.61250000000000004</v>
      </c>
      <c r="H97" s="16">
        <v>0.61538461538461542</v>
      </c>
      <c r="I97" s="16">
        <v>0.62</v>
      </c>
      <c r="J97" s="16">
        <v>0.62</v>
      </c>
      <c r="K97" s="16">
        <v>0.62</v>
      </c>
      <c r="L97" s="16">
        <v>0.62</v>
      </c>
      <c r="M97" s="16">
        <v>0.62</v>
      </c>
      <c r="N97" s="16">
        <v>0.62</v>
      </c>
      <c r="O97" s="15"/>
      <c r="P97" s="15"/>
      <c r="Q97" s="15"/>
      <c r="R97" s="15"/>
      <c r="S97" s="15"/>
      <c r="T97" s="15"/>
      <c r="U97" s="1"/>
      <c r="V97" s="1"/>
    </row>
    <row r="98" spans="1:22" ht="20" customHeight="1">
      <c r="A98" s="1"/>
      <c r="B98" s="1"/>
      <c r="C98" s="1" t="s">
        <v>78</v>
      </c>
      <c r="D98" s="1"/>
      <c r="E98" s="16">
        <v>0.59027777777777779</v>
      </c>
      <c r="F98" s="16">
        <v>0.60431654676258995</v>
      </c>
      <c r="G98" s="16">
        <v>0.61250000000000004</v>
      </c>
      <c r="H98" s="16">
        <v>0.61538461538461542</v>
      </c>
      <c r="I98" s="16">
        <v>0.62</v>
      </c>
      <c r="J98" s="16">
        <v>0.62</v>
      </c>
      <c r="K98" s="16">
        <v>0.62</v>
      </c>
      <c r="L98" s="16">
        <v>0.62</v>
      </c>
      <c r="M98" s="16">
        <v>0.62</v>
      </c>
      <c r="N98" s="16">
        <v>0.62</v>
      </c>
      <c r="O98" s="15"/>
      <c r="P98" s="15"/>
      <c r="Q98" s="15"/>
      <c r="R98" s="15"/>
      <c r="S98" s="15"/>
      <c r="T98" s="15"/>
      <c r="U98" s="1"/>
      <c r="V98" s="1"/>
    </row>
    <row r="99" spans="1:22" ht="20" customHeight="1">
      <c r="A99" s="1"/>
      <c r="B99" s="1"/>
      <c r="C99" s="1"/>
      <c r="D99" s="1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"/>
      <c r="V99" s="1"/>
    </row>
    <row r="100" spans="1:22" ht="20" customHeight="1">
      <c r="A100" s="1"/>
      <c r="B100" s="1"/>
      <c r="C100" s="1"/>
      <c r="D100" s="1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"/>
      <c r="V100" s="1"/>
    </row>
    <row r="101" spans="1:22" ht="21" customHeight="1">
      <c r="A101" s="1"/>
      <c r="B101" s="1"/>
      <c r="C101" s="1" t="s">
        <v>90</v>
      </c>
      <c r="D101" s="1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"/>
      <c r="V101" s="1"/>
    </row>
    <row r="102" spans="1:22" ht="21" customHeight="1">
      <c r="A102" s="1"/>
      <c r="B102" s="1"/>
      <c r="C102" s="1" t="s">
        <v>91</v>
      </c>
      <c r="D102" s="1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"/>
      <c r="V102" s="1"/>
    </row>
    <row r="103" spans="1:22" ht="21" customHeight="1">
      <c r="A103" s="1"/>
      <c r="B103" s="1"/>
      <c r="C103" s="1" t="s">
        <v>92</v>
      </c>
      <c r="D103" s="1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"/>
      <c r="V103" s="1"/>
    </row>
    <row r="104" spans="1:22" ht="21" customHeight="1">
      <c r="A104" s="1"/>
      <c r="B104" s="1"/>
      <c r="C104" s="1" t="s">
        <v>93</v>
      </c>
      <c r="D104" s="1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"/>
      <c r="V104" s="1"/>
    </row>
    <row r="105" spans="1:22" ht="21" customHeight="1">
      <c r="A105" s="1"/>
      <c r="B105" s="1"/>
      <c r="C105" s="1" t="s">
        <v>94</v>
      </c>
      <c r="D105" s="1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"/>
      <c r="V105" s="1"/>
    </row>
    <row r="106" spans="1:22" ht="21" customHeight="1">
      <c r="A106" s="1"/>
      <c r="B106" s="1"/>
      <c r="C106" s="1" t="s">
        <v>95</v>
      </c>
      <c r="D106" s="1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"/>
      <c r="V106" s="1"/>
    </row>
    <row r="107" spans="1:22" ht="21" customHeight="1">
      <c r="A107" s="1"/>
      <c r="B107" s="1"/>
      <c r="C107" s="1" t="s">
        <v>96</v>
      </c>
      <c r="D107" s="1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"/>
      <c r="V107" s="1"/>
    </row>
    <row r="108" spans="1:22" ht="20" customHeight="1">
      <c r="A108" s="1"/>
      <c r="B108" s="1"/>
      <c r="C108" s="1"/>
      <c r="D108" s="1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"/>
      <c r="V108" s="1"/>
    </row>
    <row r="109" spans="1:22" ht="20" customHeight="1">
      <c r="A109" s="1"/>
      <c r="B109" s="1"/>
      <c r="C109" s="1"/>
      <c r="D109" s="1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"/>
      <c r="V109" s="1"/>
    </row>
    <row r="110" spans="1:22" ht="20" customHeight="1">
      <c r="A110" s="1"/>
      <c r="B110" s="1"/>
      <c r="C110" s="1"/>
      <c r="D110" s="1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"/>
      <c r="V110" s="1"/>
    </row>
    <row r="111" spans="1:22" ht="20" customHeight="1">
      <c r="A111" s="1"/>
      <c r="B111" s="1"/>
      <c r="C111" s="1"/>
      <c r="D111" s="1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"/>
      <c r="V111" s="1"/>
    </row>
    <row r="112" spans="1:22" ht="20" customHeight="1">
      <c r="A112" s="1"/>
      <c r="B112" s="1"/>
      <c r="C112" s="1"/>
      <c r="D112" s="1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"/>
      <c r="V112" s="1"/>
    </row>
    <row r="113" spans="1:22" ht="20" customHeight="1">
      <c r="A113" s="1"/>
      <c r="B113" s="1"/>
      <c r="C113" s="1"/>
      <c r="D113" s="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"/>
      <c r="V113" s="1"/>
    </row>
    <row r="114" spans="1:22" ht="20" customHeight="1">
      <c r="A114" s="1"/>
      <c r="B114" s="1"/>
      <c r="C114" s="1"/>
      <c r="D114" s="1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"/>
      <c r="V114" s="1"/>
    </row>
    <row r="115" spans="1:22" ht="20" customHeight="1">
      <c r="A115" s="1"/>
      <c r="B115" s="1"/>
      <c r="C115" s="1"/>
      <c r="D115" s="1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"/>
      <c r="V115" s="1"/>
    </row>
    <row r="116" spans="1:22" ht="20" customHeight="1">
      <c r="A116" s="1"/>
      <c r="B116" s="1"/>
      <c r="C116" s="1"/>
      <c r="D116" s="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"/>
      <c r="V116" s="1"/>
    </row>
    <row r="117" spans="1:22" ht="20" customHeight="1">
      <c r="A117" s="1"/>
      <c r="B117" s="1"/>
      <c r="C117" s="1"/>
      <c r="D117" s="1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"/>
      <c r="V117" s="1"/>
    </row>
    <row r="118" spans="1:22" ht="20" customHeight="1">
      <c r="A118" s="1"/>
      <c r="B118" s="1"/>
      <c r="C118" s="1"/>
      <c r="D118" s="1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"/>
      <c r="V118" s="1"/>
    </row>
    <row r="119" spans="1:22" ht="20" customHeight="1">
      <c r="A119" s="1"/>
      <c r="B119" s="1"/>
      <c r="C119" s="1"/>
      <c r="D119" s="1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"/>
      <c r="V119" s="1"/>
    </row>
    <row r="120" spans="1:22" ht="20" customHeight="1">
      <c r="A120" s="1"/>
      <c r="B120" s="1"/>
      <c r="C120" s="1"/>
      <c r="D120" s="1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"/>
      <c r="V120" s="1"/>
    </row>
    <row r="121" spans="1:22" ht="20" customHeight="1">
      <c r="A121" s="1"/>
      <c r="B121" s="1"/>
      <c r="C121" s="1"/>
      <c r="D121" s="1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"/>
      <c r="V121" s="1"/>
    </row>
    <row r="122" spans="1:22" ht="20" customHeight="1">
      <c r="A122" s="1"/>
      <c r="B122" s="1"/>
      <c r="C122" s="1"/>
      <c r="D122" s="1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"/>
      <c r="V122" s="1"/>
    </row>
    <row r="123" spans="1:22" ht="20" customHeight="1">
      <c r="A123" s="1"/>
      <c r="B123" s="1"/>
      <c r="C123" s="1"/>
      <c r="D123" s="1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"/>
      <c r="V123" s="1"/>
    </row>
    <row r="124" spans="1:22" ht="20" customHeight="1">
      <c r="A124" s="1"/>
      <c r="B124" s="1"/>
      <c r="C124" s="1"/>
      <c r="D124" s="1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"/>
      <c r="V124" s="1"/>
    </row>
    <row r="125" spans="1:22" ht="20" customHeight="1">
      <c r="A125" s="1"/>
      <c r="B125" s="1"/>
      <c r="C125" s="1"/>
      <c r="D125" s="1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"/>
      <c r="V125" s="1"/>
    </row>
    <row r="126" spans="1:22" ht="20" customHeight="1">
      <c r="A126" s="1"/>
      <c r="B126" s="1"/>
      <c r="C126" s="1"/>
      <c r="D126" s="1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"/>
      <c r="V126" s="1"/>
    </row>
    <row r="127" spans="1:22" ht="20" customHeight="1">
      <c r="A127" s="1"/>
      <c r="B127" s="1"/>
      <c r="C127" s="1"/>
      <c r="D127" s="1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"/>
      <c r="V127" s="1"/>
    </row>
    <row r="128" spans="1:22" ht="20" customHeight="1">
      <c r="A128" s="1"/>
      <c r="B128" s="1"/>
      <c r="C128" s="1"/>
      <c r="D128" s="1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"/>
      <c r="V128" s="1"/>
    </row>
    <row r="129" spans="1:22" ht="20" customHeight="1">
      <c r="A129" s="1"/>
      <c r="B129" s="1"/>
      <c r="C129" s="1"/>
      <c r="D129" s="1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"/>
      <c r="V129" s="1"/>
    </row>
    <row r="130" spans="1:22" ht="20" customHeight="1">
      <c r="A130" s="1"/>
      <c r="B130" s="1"/>
      <c r="C130" s="1"/>
      <c r="D130" s="1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"/>
      <c r="V130" s="1"/>
    </row>
    <row r="131" spans="1:22" ht="20" customHeight="1">
      <c r="A131" s="1"/>
      <c r="B131" s="1"/>
      <c r="C131" s="1"/>
      <c r="D131" s="1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"/>
      <c r="V131" s="1"/>
    </row>
    <row r="132" spans="1:22" ht="20" customHeight="1">
      <c r="A132" s="1"/>
      <c r="B132" s="1"/>
      <c r="C132" s="1"/>
      <c r="D132" s="1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"/>
      <c r="V132" s="1"/>
    </row>
    <row r="133" spans="1:22" ht="20" customHeight="1">
      <c r="A133" s="1"/>
      <c r="B133" s="1"/>
      <c r="C133" s="1"/>
      <c r="D133" s="1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"/>
      <c r="V133" s="1"/>
    </row>
    <row r="134" spans="1:22" ht="20" customHeight="1">
      <c r="A134" s="1"/>
      <c r="B134" s="1"/>
      <c r="C134" s="1"/>
      <c r="D134" s="1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"/>
      <c r="V134" s="1"/>
    </row>
    <row r="135" spans="1:22" ht="20" customHeight="1">
      <c r="A135" s="1"/>
      <c r="B135" s="1"/>
      <c r="C135" s="1"/>
      <c r="D135" s="1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"/>
      <c r="V135" s="1"/>
    </row>
    <row r="136" spans="1:22" ht="20" customHeight="1">
      <c r="A136" s="1"/>
      <c r="B136" s="1"/>
      <c r="C136" s="1"/>
      <c r="D136" s="1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"/>
      <c r="V136" s="1"/>
    </row>
    <row r="137" spans="1:22" ht="20" customHeight="1">
      <c r="A137" s="1"/>
      <c r="B137" s="1"/>
      <c r="C137" s="1"/>
      <c r="D137" s="1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"/>
      <c r="V137" s="1"/>
    </row>
    <row r="138" spans="1:22" ht="20" customHeight="1">
      <c r="A138" s="1"/>
      <c r="B138" s="1"/>
      <c r="C138" s="1"/>
      <c r="D138" s="1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"/>
      <c r="V138" s="1"/>
    </row>
    <row r="139" spans="1:22" ht="20" customHeight="1">
      <c r="A139" s="1"/>
      <c r="B139" s="1"/>
      <c r="C139" s="1"/>
      <c r="D139" s="1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"/>
      <c r="V139" s="1"/>
    </row>
    <row r="140" spans="1:22" ht="20" customHeight="1">
      <c r="A140" s="1"/>
      <c r="B140" s="1"/>
      <c r="C140" s="1"/>
      <c r="D140" s="1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"/>
      <c r="V140" s="1"/>
    </row>
    <row r="141" spans="1:22" ht="20" customHeight="1">
      <c r="A141" s="1"/>
      <c r="B141" s="1"/>
      <c r="C141" s="1"/>
      <c r="D141" s="1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"/>
      <c r="V141" s="1"/>
    </row>
    <row r="142" spans="1:22" ht="20" customHeight="1">
      <c r="A142" s="1"/>
      <c r="B142" s="1"/>
      <c r="C142" s="1"/>
      <c r="D142" s="1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"/>
      <c r="V142" s="1"/>
    </row>
    <row r="143" spans="1:22" ht="20" customHeight="1">
      <c r="A143" s="1"/>
      <c r="B143" s="1"/>
      <c r="C143" s="1"/>
      <c r="D143" s="1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"/>
      <c r="V143" s="1"/>
    </row>
    <row r="144" spans="1:22" ht="20" customHeight="1">
      <c r="A144" s="1"/>
      <c r="B144" s="1"/>
      <c r="C144" s="1"/>
      <c r="D144" s="1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"/>
      <c r="V144" s="1"/>
    </row>
    <row r="145" spans="1:22" ht="20" customHeight="1">
      <c r="A145" s="1"/>
      <c r="B145" s="1"/>
      <c r="C145" s="1"/>
      <c r="D145" s="1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"/>
      <c r="V145" s="1"/>
    </row>
    <row r="146" spans="1:22" ht="20" customHeight="1">
      <c r="A146" s="1"/>
      <c r="B146" s="1"/>
      <c r="C146" s="1"/>
      <c r="D146" s="1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"/>
      <c r="V146" s="1"/>
    </row>
    <row r="147" spans="1:22" ht="20" customHeight="1">
      <c r="A147" s="1"/>
      <c r="B147" s="1"/>
      <c r="C147" s="1"/>
      <c r="D147" s="1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"/>
      <c r="V147" s="1"/>
    </row>
    <row r="148" spans="1:22" ht="20" customHeight="1">
      <c r="A148" s="1"/>
      <c r="B148" s="1"/>
      <c r="C148" s="1"/>
      <c r="D148" s="1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"/>
      <c r="V148" s="1"/>
    </row>
    <row r="149" spans="1:22" ht="20" customHeight="1">
      <c r="A149" s="1"/>
      <c r="B149" s="1"/>
      <c r="C149" s="1"/>
      <c r="D149" s="1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"/>
      <c r="V149" s="1"/>
    </row>
    <row r="150" spans="1:22" ht="20" customHeight="1">
      <c r="A150" s="1"/>
      <c r="B150" s="1"/>
      <c r="C150" s="1"/>
      <c r="D150" s="1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dataValidations count="1">
    <dataValidation type="whole" sqref="E5" xr:uid="{00000000-0002-0000-0100-000000000000}">
      <formula1>1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5"/>
  <sheetViews>
    <sheetView showGridLines="0" workbookViewId="0">
      <pane xSplit="4" ySplit="7" topLeftCell="E42" activePane="bottomRight" state="frozen"/>
      <selection pane="topRight"/>
      <selection pane="bottomLeft"/>
      <selection pane="bottomRight" activeCell="G63" sqref="G63"/>
    </sheetView>
  </sheetViews>
  <sheetFormatPr baseColWidth="10" defaultColWidth="8.83203125" defaultRowHeight="14"/>
  <cols>
    <col min="1" max="2" width="2.1640625" customWidth="1"/>
    <col min="3" max="3" width="42" customWidth="1"/>
    <col min="4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97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14" t="s">
        <v>19</v>
      </c>
      <c r="F7" s="14" t="s">
        <v>20</v>
      </c>
      <c r="G7" s="14" t="s">
        <v>21</v>
      </c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27</v>
      </c>
      <c r="N7" s="14" t="s">
        <v>28</v>
      </c>
      <c r="O7" s="15"/>
      <c r="P7" s="15"/>
      <c r="Q7" s="15"/>
      <c r="R7" s="15"/>
      <c r="S7" s="15"/>
      <c r="T7" s="15"/>
      <c r="U7" s="1"/>
      <c r="V7" s="1"/>
    </row>
    <row r="8" spans="1:22" ht="20" customHeight="1">
      <c r="A8" s="1"/>
      <c r="B8" s="1"/>
      <c r="C8" s="1"/>
      <c r="D8" s="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</row>
    <row r="9" spans="1:22" ht="20" customHeight="1">
      <c r="A9" s="1"/>
      <c r="B9" s="1"/>
      <c r="C9" s="1" t="s">
        <v>98</v>
      </c>
      <c r="D9" s="1"/>
      <c r="E9" s="15">
        <f>Assumptions!E40*Assumptions!E95</f>
        <v>3.4</v>
      </c>
      <c r="F9" s="15">
        <f>Assumptions!F40*Assumptions!F95</f>
        <v>4.2</v>
      </c>
      <c r="G9" s="15">
        <f>Assumptions!G40*Assumptions!G95</f>
        <v>4.9000000000000004</v>
      </c>
      <c r="H9" s="15">
        <f>Assumptions!H40*Assumptions!H95</f>
        <v>5.6000000000000005</v>
      </c>
      <c r="I9" s="15">
        <f>Assumptions!I40*Assumptions!I95</f>
        <v>6.2</v>
      </c>
      <c r="J9" s="15">
        <f>Assumptions!J40*Assumptions!J95</f>
        <v>6.8819999999999997</v>
      </c>
      <c r="K9" s="15">
        <f>Assumptions!K40*Assumptions!K95</f>
        <v>7.5639999999999992</v>
      </c>
      <c r="L9" s="15">
        <f>Assumptions!L40*Assumptions!L95</f>
        <v>8.2460000000000004</v>
      </c>
      <c r="M9" s="15">
        <f>Assumptions!M40*Assumptions!M95</f>
        <v>8.9280000000000008</v>
      </c>
      <c r="N9" s="15">
        <f>Assumptions!N40*Assumptions!N95</f>
        <v>9.61</v>
      </c>
      <c r="O9" s="15"/>
      <c r="P9" s="15"/>
      <c r="Q9" s="15"/>
      <c r="R9" s="15"/>
      <c r="S9" s="15"/>
      <c r="T9" s="15"/>
      <c r="U9" s="1"/>
      <c r="V9" s="1"/>
    </row>
    <row r="10" spans="1:22" ht="20" customHeight="1">
      <c r="A10" s="1"/>
      <c r="B10" s="1"/>
      <c r="C10" s="1" t="s">
        <v>99</v>
      </c>
      <c r="D10" s="1"/>
      <c r="E10" s="15">
        <f t="shared" ref="E10:N10" si="0">E11-E9</f>
        <v>2.36</v>
      </c>
      <c r="F10" s="15">
        <f t="shared" si="0"/>
        <v>2.75</v>
      </c>
      <c r="G10" s="15">
        <f t="shared" si="0"/>
        <v>3.0999999999999996</v>
      </c>
      <c r="H10" s="15">
        <f t="shared" si="0"/>
        <v>3.4999999999999991</v>
      </c>
      <c r="I10" s="15">
        <f t="shared" si="0"/>
        <v>3.8</v>
      </c>
      <c r="J10" s="15">
        <f t="shared" si="0"/>
        <v>4.218</v>
      </c>
      <c r="K10" s="15">
        <f t="shared" si="0"/>
        <v>4.6360000000000001</v>
      </c>
      <c r="L10" s="15">
        <f t="shared" si="0"/>
        <v>5.0540000000000003</v>
      </c>
      <c r="M10" s="15">
        <f t="shared" si="0"/>
        <v>5.4719999999999995</v>
      </c>
      <c r="N10" s="15">
        <f t="shared" si="0"/>
        <v>5.8900000000000006</v>
      </c>
      <c r="O10" s="15"/>
      <c r="P10" s="15"/>
      <c r="Q10" s="15"/>
      <c r="R10" s="15"/>
      <c r="S10" s="15"/>
      <c r="T10" s="15"/>
      <c r="U10" s="1"/>
      <c r="V10" s="1"/>
    </row>
    <row r="11" spans="1:22" ht="20" customHeight="1">
      <c r="A11" s="1"/>
      <c r="B11" s="1"/>
      <c r="C11" s="1" t="s">
        <v>100</v>
      </c>
      <c r="D11" s="1"/>
      <c r="E11" s="15">
        <f>Assumptions!E40</f>
        <v>5.76</v>
      </c>
      <c r="F11" s="15">
        <f>Assumptions!F40</f>
        <v>6.95</v>
      </c>
      <c r="G11" s="15">
        <f>Assumptions!G40</f>
        <v>8</v>
      </c>
      <c r="H11" s="15">
        <f>Assumptions!H40</f>
        <v>9.1</v>
      </c>
      <c r="I11" s="15">
        <f>Assumptions!I40</f>
        <v>10</v>
      </c>
      <c r="J11" s="15">
        <f>Assumptions!J40</f>
        <v>11.1</v>
      </c>
      <c r="K11" s="15">
        <f>Assumptions!K40</f>
        <v>12.2</v>
      </c>
      <c r="L11" s="15">
        <f>Assumptions!L40</f>
        <v>13.3</v>
      </c>
      <c r="M11" s="15">
        <f>Assumptions!M40</f>
        <v>14.4</v>
      </c>
      <c r="N11" s="15">
        <f>Assumptions!N40</f>
        <v>15.5</v>
      </c>
      <c r="O11" s="15"/>
      <c r="P11" s="15"/>
      <c r="Q11" s="15"/>
      <c r="R11" s="15"/>
      <c r="S11" s="15"/>
      <c r="T11" s="15"/>
      <c r="U11" s="1"/>
      <c r="V11" s="1"/>
    </row>
    <row r="12" spans="1:22" ht="20" customHeight="1">
      <c r="A12" s="1"/>
      <c r="B12" s="1"/>
      <c r="C12" s="1" t="s">
        <v>101</v>
      </c>
      <c r="D12" s="1"/>
      <c r="E12" s="15">
        <f>Assumptions!E45</f>
        <v>0.3</v>
      </c>
      <c r="F12" s="15">
        <f>Assumptions!F45</f>
        <v>1.3</v>
      </c>
      <c r="G12" s="15">
        <f>Assumptions!G45</f>
        <v>4</v>
      </c>
      <c r="H12" s="15">
        <f>Assumptions!H45</f>
        <v>8.9</v>
      </c>
      <c r="I12" s="15">
        <f>Assumptions!I45</f>
        <v>15</v>
      </c>
      <c r="J12" s="15">
        <f>Assumptions!J45</f>
        <v>19</v>
      </c>
      <c r="K12" s="15">
        <f>Assumptions!K45</f>
        <v>22</v>
      </c>
      <c r="L12" s="15">
        <f>Assumptions!L45</f>
        <v>25</v>
      </c>
      <c r="M12" s="15">
        <f>Assumptions!M45</f>
        <v>28</v>
      </c>
      <c r="N12" s="15">
        <f>Assumptions!N45</f>
        <v>31</v>
      </c>
      <c r="O12" s="15"/>
      <c r="P12" s="15"/>
      <c r="Q12" s="15"/>
      <c r="R12" s="15"/>
      <c r="S12" s="15"/>
      <c r="T12" s="15"/>
      <c r="U12" s="1"/>
      <c r="V12" s="1"/>
    </row>
    <row r="13" spans="1:22" ht="20" customHeight="1">
      <c r="A13" s="1"/>
      <c r="B13" s="1"/>
      <c r="C13" s="1" t="s">
        <v>102</v>
      </c>
      <c r="D13" s="1"/>
      <c r="E13" s="15">
        <f t="shared" ref="E13:N13" si="1">SUM(E11:E12)</f>
        <v>6.06</v>
      </c>
      <c r="F13" s="15">
        <f t="shared" si="1"/>
        <v>8.25</v>
      </c>
      <c r="G13" s="15">
        <f t="shared" si="1"/>
        <v>12</v>
      </c>
      <c r="H13" s="15">
        <f t="shared" si="1"/>
        <v>18</v>
      </c>
      <c r="I13" s="15">
        <f t="shared" si="1"/>
        <v>25</v>
      </c>
      <c r="J13" s="15">
        <f t="shared" si="1"/>
        <v>30.1</v>
      </c>
      <c r="K13" s="15">
        <f t="shared" si="1"/>
        <v>34.200000000000003</v>
      </c>
      <c r="L13" s="15">
        <f t="shared" si="1"/>
        <v>38.299999999999997</v>
      </c>
      <c r="M13" s="15">
        <f t="shared" si="1"/>
        <v>42.4</v>
      </c>
      <c r="N13" s="15">
        <f t="shared" si="1"/>
        <v>46.5</v>
      </c>
      <c r="O13" s="15"/>
      <c r="P13" s="15"/>
      <c r="Q13" s="15"/>
      <c r="R13" s="15"/>
      <c r="S13" s="15"/>
      <c r="T13" s="15"/>
      <c r="U13" s="1"/>
      <c r="V13" s="1"/>
    </row>
    <row r="14" spans="1:22" ht="20" customHeight="1">
      <c r="A14" s="1"/>
      <c r="B14" s="1"/>
      <c r="C14" s="1" t="s">
        <v>103</v>
      </c>
      <c r="D14" s="1"/>
      <c r="E14" s="16">
        <f>E13/Historical!G9-1</f>
        <v>0.23170731707317072</v>
      </c>
      <c r="F14" s="16">
        <f t="shared" ref="F14:N14" si="2">F13/E13-1</f>
        <v>0.36138613861386149</v>
      </c>
      <c r="G14" s="16">
        <f t="shared" si="2"/>
        <v>0.45454545454545459</v>
      </c>
      <c r="H14" s="16">
        <f t="shared" si="2"/>
        <v>0.5</v>
      </c>
      <c r="I14" s="16">
        <f t="shared" si="2"/>
        <v>0.38888888888888884</v>
      </c>
      <c r="J14" s="16">
        <f t="shared" si="2"/>
        <v>0.20399999999999996</v>
      </c>
      <c r="K14" s="16">
        <f t="shared" si="2"/>
        <v>0.13621262458471772</v>
      </c>
      <c r="L14" s="16">
        <f t="shared" si="2"/>
        <v>0.11988304093567237</v>
      </c>
      <c r="M14" s="16">
        <f t="shared" si="2"/>
        <v>0.10704960835509136</v>
      </c>
      <c r="N14" s="16">
        <f t="shared" si="2"/>
        <v>9.6698113207547287E-2</v>
      </c>
      <c r="O14" s="15"/>
      <c r="P14" s="15"/>
      <c r="Q14" s="15"/>
      <c r="R14" s="15"/>
      <c r="S14" s="15"/>
      <c r="T14" s="15"/>
      <c r="U14" s="1"/>
      <c r="V14" s="1"/>
    </row>
    <row r="15" spans="1:22" ht="20" customHeight="1">
      <c r="A15" s="1"/>
      <c r="B15" s="1"/>
      <c r="C15" s="1"/>
      <c r="D15" s="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</row>
    <row r="16" spans="1:22" ht="20" customHeight="1">
      <c r="A16" s="1"/>
      <c r="B16" s="1"/>
      <c r="C16" s="1" t="s">
        <v>104</v>
      </c>
      <c r="D16" s="1"/>
      <c r="E16" s="16">
        <f>Assumptions!E50</f>
        <v>0.98</v>
      </c>
      <c r="F16" s="16">
        <f>Assumptions!F50</f>
        <v>0.98</v>
      </c>
      <c r="G16" s="16">
        <f>Assumptions!G50</f>
        <v>0.98</v>
      </c>
      <c r="H16" s="16">
        <f>Assumptions!H50</f>
        <v>0.98</v>
      </c>
      <c r="I16" s="16">
        <f>Assumptions!I50</f>
        <v>0.98</v>
      </c>
      <c r="J16" s="16">
        <f>Assumptions!J50</f>
        <v>0.98</v>
      </c>
      <c r="K16" s="16">
        <f>Assumptions!K50</f>
        <v>0.98</v>
      </c>
      <c r="L16" s="16">
        <f>Assumptions!L50</f>
        <v>0.98</v>
      </c>
      <c r="M16" s="16">
        <f>Assumptions!M50</f>
        <v>0.98</v>
      </c>
      <c r="N16" s="16">
        <f>Assumptions!N50</f>
        <v>0.98</v>
      </c>
      <c r="O16" s="15"/>
      <c r="P16" s="15"/>
      <c r="Q16" s="15"/>
      <c r="R16" s="15"/>
      <c r="S16" s="15"/>
      <c r="T16" s="15"/>
      <c r="U16" s="1"/>
      <c r="V16" s="1"/>
    </row>
    <row r="17" spans="1:22" ht="20" customHeight="1">
      <c r="A17" s="1"/>
      <c r="B17" s="1"/>
      <c r="C17" s="1" t="s">
        <v>105</v>
      </c>
      <c r="D17" s="1"/>
      <c r="E17" s="16">
        <f>Assumptions!E55</f>
        <v>0.5</v>
      </c>
      <c r="F17" s="16">
        <f>Assumptions!F55</f>
        <v>0.5</v>
      </c>
      <c r="G17" s="16">
        <f>Assumptions!G55</f>
        <v>0.5</v>
      </c>
      <c r="H17" s="16">
        <f>Assumptions!H55</f>
        <v>0.5</v>
      </c>
      <c r="I17" s="16">
        <f>Assumptions!I55</f>
        <v>0.5</v>
      </c>
      <c r="J17" s="16">
        <f>Assumptions!J55</f>
        <v>0.5</v>
      </c>
      <c r="K17" s="16">
        <f>Assumptions!K55</f>
        <v>0.5</v>
      </c>
      <c r="L17" s="16">
        <f>Assumptions!L55</f>
        <v>0.5</v>
      </c>
      <c r="M17" s="16">
        <f>Assumptions!M55</f>
        <v>0.5</v>
      </c>
      <c r="N17" s="16">
        <f>Assumptions!N55</f>
        <v>0.5</v>
      </c>
      <c r="O17" s="15"/>
      <c r="P17" s="15"/>
      <c r="Q17" s="15"/>
      <c r="R17" s="15"/>
      <c r="S17" s="15"/>
      <c r="T17" s="15"/>
      <c r="U17" s="1"/>
      <c r="V17" s="1"/>
    </row>
    <row r="18" spans="1:22" ht="20" customHeight="1">
      <c r="A18" s="1"/>
      <c r="B18" s="1"/>
      <c r="C18" s="1" t="s">
        <v>106</v>
      </c>
      <c r="D18" s="1"/>
      <c r="E18" s="15">
        <f t="shared" ref="E18:N18" si="3">E11*E16</f>
        <v>5.6448</v>
      </c>
      <c r="F18" s="15">
        <f t="shared" si="3"/>
        <v>6.8109999999999999</v>
      </c>
      <c r="G18" s="15">
        <f t="shared" si="3"/>
        <v>7.84</v>
      </c>
      <c r="H18" s="15">
        <f t="shared" si="3"/>
        <v>8.9179999999999993</v>
      </c>
      <c r="I18" s="15">
        <f t="shared" si="3"/>
        <v>9.8000000000000007</v>
      </c>
      <c r="J18" s="15">
        <f t="shared" si="3"/>
        <v>10.878</v>
      </c>
      <c r="K18" s="15">
        <f t="shared" si="3"/>
        <v>11.956</v>
      </c>
      <c r="L18" s="15">
        <f t="shared" si="3"/>
        <v>13.034000000000001</v>
      </c>
      <c r="M18" s="15">
        <f t="shared" si="3"/>
        <v>14.112</v>
      </c>
      <c r="N18" s="15">
        <f t="shared" si="3"/>
        <v>15.19</v>
      </c>
      <c r="O18" s="15"/>
      <c r="P18" s="15"/>
      <c r="Q18" s="15"/>
      <c r="R18" s="15"/>
      <c r="S18" s="15"/>
      <c r="T18" s="15"/>
      <c r="U18" s="1"/>
      <c r="V18" s="1"/>
    </row>
    <row r="19" spans="1:22" ht="20" customHeight="1">
      <c r="A19" s="1"/>
      <c r="B19" s="1"/>
      <c r="C19" s="1" t="s">
        <v>107</v>
      </c>
      <c r="D19" s="1"/>
      <c r="E19" s="15">
        <f t="shared" ref="E19:N19" si="4">E12*E17</f>
        <v>0.15</v>
      </c>
      <c r="F19" s="15">
        <f t="shared" si="4"/>
        <v>0.65</v>
      </c>
      <c r="G19" s="15">
        <f t="shared" si="4"/>
        <v>2</v>
      </c>
      <c r="H19" s="15">
        <f t="shared" si="4"/>
        <v>4.45</v>
      </c>
      <c r="I19" s="15">
        <f t="shared" si="4"/>
        <v>7.5</v>
      </c>
      <c r="J19" s="15">
        <f t="shared" si="4"/>
        <v>9.5</v>
      </c>
      <c r="K19" s="15">
        <f t="shared" si="4"/>
        <v>11</v>
      </c>
      <c r="L19" s="15">
        <f t="shared" si="4"/>
        <v>12.5</v>
      </c>
      <c r="M19" s="15">
        <f t="shared" si="4"/>
        <v>14</v>
      </c>
      <c r="N19" s="15">
        <f t="shared" si="4"/>
        <v>15.5</v>
      </c>
      <c r="O19" s="15"/>
      <c r="P19" s="15"/>
      <c r="Q19" s="15"/>
      <c r="R19" s="15"/>
      <c r="S19" s="15"/>
      <c r="T19" s="15"/>
      <c r="U19" s="1"/>
      <c r="V19" s="1"/>
    </row>
    <row r="20" spans="1:22" ht="20" customHeight="1">
      <c r="A20" s="1"/>
      <c r="B20" s="1"/>
      <c r="C20" s="1" t="s">
        <v>108</v>
      </c>
      <c r="D20" s="1"/>
      <c r="E20" s="15">
        <f t="shared" ref="E20:N20" si="5">SUM(E18:E19)</f>
        <v>5.7948000000000004</v>
      </c>
      <c r="F20" s="15">
        <f t="shared" si="5"/>
        <v>7.4610000000000003</v>
      </c>
      <c r="G20" s="15">
        <f t="shared" si="5"/>
        <v>9.84</v>
      </c>
      <c r="H20" s="15">
        <f t="shared" si="5"/>
        <v>13.367999999999999</v>
      </c>
      <c r="I20" s="15">
        <f t="shared" si="5"/>
        <v>17.3</v>
      </c>
      <c r="J20" s="15">
        <f t="shared" si="5"/>
        <v>20.378</v>
      </c>
      <c r="K20" s="15">
        <f t="shared" si="5"/>
        <v>22.956</v>
      </c>
      <c r="L20" s="15">
        <f t="shared" si="5"/>
        <v>25.533999999999999</v>
      </c>
      <c r="M20" s="15">
        <f t="shared" si="5"/>
        <v>28.112000000000002</v>
      </c>
      <c r="N20" s="15">
        <f t="shared" si="5"/>
        <v>30.689999999999998</v>
      </c>
      <c r="O20" s="15"/>
      <c r="P20" s="15"/>
      <c r="Q20" s="15"/>
      <c r="R20" s="15"/>
      <c r="S20" s="15"/>
      <c r="T20" s="15"/>
      <c r="U20" s="1"/>
      <c r="V20" s="1"/>
    </row>
    <row r="21" spans="1:22" ht="20" customHeight="1">
      <c r="A21" s="1"/>
      <c r="B21" s="1"/>
      <c r="C21" s="1" t="s">
        <v>109</v>
      </c>
      <c r="D21" s="1"/>
      <c r="E21" s="16">
        <f t="shared" ref="E21:N21" si="6">E20/E13</f>
        <v>0.95623762376237631</v>
      </c>
      <c r="F21" s="16">
        <f t="shared" si="6"/>
        <v>0.90436363636363637</v>
      </c>
      <c r="G21" s="16">
        <f t="shared" si="6"/>
        <v>0.82</v>
      </c>
      <c r="H21" s="16">
        <f t="shared" si="6"/>
        <v>0.74266666666666659</v>
      </c>
      <c r="I21" s="16">
        <f t="shared" si="6"/>
        <v>0.69200000000000006</v>
      </c>
      <c r="J21" s="16">
        <f t="shared" si="6"/>
        <v>0.67700996677740866</v>
      </c>
      <c r="K21" s="16">
        <f t="shared" si="6"/>
        <v>0.67122807017543851</v>
      </c>
      <c r="L21" s="16">
        <f t="shared" si="6"/>
        <v>0.66668407310704958</v>
      </c>
      <c r="M21" s="16">
        <f t="shared" si="6"/>
        <v>0.66301886792452835</v>
      </c>
      <c r="N21" s="16">
        <f t="shared" si="6"/>
        <v>0.65999999999999992</v>
      </c>
      <c r="O21" s="15"/>
      <c r="P21" s="15"/>
      <c r="Q21" s="15"/>
      <c r="R21" s="15"/>
      <c r="S21" s="15"/>
      <c r="T21" s="15"/>
      <c r="U21" s="1"/>
      <c r="V21" s="1"/>
    </row>
    <row r="22" spans="1:22" ht="20" customHeight="1">
      <c r="A22" s="1"/>
      <c r="B22" s="1"/>
      <c r="C22" s="1"/>
      <c r="D22" s="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</row>
    <row r="23" spans="1:22" ht="20" customHeight="1">
      <c r="A23" s="1"/>
      <c r="B23" s="1"/>
      <c r="C23" s="1" t="s">
        <v>110</v>
      </c>
      <c r="D23" s="1"/>
      <c r="E23" s="15">
        <f>Assumptions!E60</f>
        <v>3.2629999999999999</v>
      </c>
      <c r="F23" s="15">
        <f>Assumptions!F60</f>
        <v>3.72</v>
      </c>
      <c r="G23" s="15">
        <f>Assumptions!G60</f>
        <v>4.28</v>
      </c>
      <c r="H23" s="15">
        <f>Assumptions!H60</f>
        <v>4.92</v>
      </c>
      <c r="I23" s="15">
        <f>Assumptions!I60</f>
        <v>6.3</v>
      </c>
      <c r="J23" s="15">
        <f>Assumptions!J60</f>
        <v>7.2</v>
      </c>
      <c r="K23" s="15">
        <f>Assumptions!K60</f>
        <v>8</v>
      </c>
      <c r="L23" s="15">
        <f>Assumptions!L60</f>
        <v>8.8000000000000007</v>
      </c>
      <c r="M23" s="15">
        <f>Assumptions!M60</f>
        <v>9.6</v>
      </c>
      <c r="N23" s="15">
        <f>Assumptions!N60</f>
        <v>10.4</v>
      </c>
      <c r="O23" s="15"/>
      <c r="P23" s="15"/>
      <c r="Q23" s="15"/>
      <c r="R23" s="15"/>
      <c r="S23" s="15"/>
      <c r="T23" s="15"/>
      <c r="U23" s="1"/>
      <c r="V23" s="1"/>
    </row>
    <row r="24" spans="1:22" ht="20" customHeight="1">
      <c r="A24" s="1"/>
      <c r="B24" s="1"/>
      <c r="C24" s="1" t="s">
        <v>111</v>
      </c>
      <c r="D24" s="1"/>
      <c r="E24" s="15">
        <f>Assumptions!E65</f>
        <v>1.5</v>
      </c>
      <c r="F24" s="15">
        <f>Assumptions!F65</f>
        <v>1.65</v>
      </c>
      <c r="G24" s="15">
        <f>Assumptions!G65</f>
        <v>1.8</v>
      </c>
      <c r="H24" s="15">
        <f>Assumptions!H65</f>
        <v>1.95</v>
      </c>
      <c r="I24" s="15">
        <f>Assumptions!I65</f>
        <v>2</v>
      </c>
      <c r="J24" s="15">
        <f>Assumptions!J65</f>
        <v>2.2000000000000002</v>
      </c>
      <c r="K24" s="15">
        <f>Assumptions!K65</f>
        <v>2.4</v>
      </c>
      <c r="L24" s="15">
        <f>Assumptions!L65</f>
        <v>2.6</v>
      </c>
      <c r="M24" s="15">
        <f>Assumptions!M65</f>
        <v>2.8</v>
      </c>
      <c r="N24" s="15">
        <f>Assumptions!N65</f>
        <v>3</v>
      </c>
      <c r="O24" s="15"/>
      <c r="P24" s="15"/>
      <c r="Q24" s="15"/>
      <c r="R24" s="15"/>
      <c r="S24" s="15"/>
      <c r="T24" s="15"/>
      <c r="U24" s="1"/>
      <c r="V24" s="1"/>
    </row>
    <row r="25" spans="1:22" ht="20" customHeight="1">
      <c r="A25" s="1"/>
      <c r="B25" s="1"/>
      <c r="C25" s="1" t="s">
        <v>112</v>
      </c>
      <c r="D25" s="1"/>
      <c r="E25" s="15">
        <f t="shared" ref="E25:N25" si="7">SUM(E23:E24)</f>
        <v>4.7629999999999999</v>
      </c>
      <c r="F25" s="15">
        <f t="shared" si="7"/>
        <v>5.37</v>
      </c>
      <c r="G25" s="15">
        <f t="shared" si="7"/>
        <v>6.08</v>
      </c>
      <c r="H25" s="15">
        <f t="shared" si="7"/>
        <v>6.87</v>
      </c>
      <c r="I25" s="15">
        <f t="shared" si="7"/>
        <v>8.3000000000000007</v>
      </c>
      <c r="J25" s="15">
        <f t="shared" si="7"/>
        <v>9.4</v>
      </c>
      <c r="K25" s="15">
        <f t="shared" si="7"/>
        <v>10.4</v>
      </c>
      <c r="L25" s="15">
        <f t="shared" si="7"/>
        <v>11.4</v>
      </c>
      <c r="M25" s="15">
        <f t="shared" si="7"/>
        <v>12.399999999999999</v>
      </c>
      <c r="N25" s="15">
        <f t="shared" si="7"/>
        <v>13.4</v>
      </c>
      <c r="O25" s="15"/>
      <c r="P25" s="15"/>
      <c r="Q25" s="15"/>
      <c r="R25" s="15"/>
      <c r="S25" s="15"/>
      <c r="T25" s="15"/>
      <c r="U25" s="1"/>
      <c r="V25" s="1"/>
    </row>
    <row r="26" spans="1:22" ht="20" customHeight="1">
      <c r="A26" s="1"/>
      <c r="B26" s="1"/>
      <c r="C26" s="1" t="s">
        <v>30</v>
      </c>
      <c r="D26" s="1"/>
      <c r="E26" s="15">
        <f t="shared" ref="E26:N26" si="8">E20-E25</f>
        <v>1.0318000000000005</v>
      </c>
      <c r="F26" s="15">
        <f t="shared" si="8"/>
        <v>2.0910000000000002</v>
      </c>
      <c r="G26" s="15">
        <f t="shared" si="8"/>
        <v>3.76</v>
      </c>
      <c r="H26" s="15">
        <f t="shared" si="8"/>
        <v>6.4979999999999984</v>
      </c>
      <c r="I26" s="15">
        <f t="shared" si="8"/>
        <v>9</v>
      </c>
      <c r="J26" s="15">
        <f t="shared" si="8"/>
        <v>10.978</v>
      </c>
      <c r="K26" s="15">
        <f t="shared" si="8"/>
        <v>12.555999999999999</v>
      </c>
      <c r="L26" s="15">
        <f t="shared" si="8"/>
        <v>14.133999999999999</v>
      </c>
      <c r="M26" s="15">
        <f t="shared" si="8"/>
        <v>15.712000000000003</v>
      </c>
      <c r="N26" s="15">
        <f t="shared" si="8"/>
        <v>17.29</v>
      </c>
      <c r="O26" s="15"/>
      <c r="P26" s="15"/>
      <c r="Q26" s="15"/>
      <c r="R26" s="15"/>
      <c r="S26" s="15"/>
      <c r="T26" s="15"/>
      <c r="U26" s="1"/>
      <c r="V26" s="1"/>
    </row>
    <row r="27" spans="1:22" ht="20" customHeight="1">
      <c r="A27" s="1"/>
      <c r="B27" s="1"/>
      <c r="C27" s="1" t="s">
        <v>113</v>
      </c>
      <c r="D27" s="1"/>
      <c r="E27" s="16">
        <f t="shared" ref="E27:N27" si="9">E26/E13</f>
        <v>0.17026402640264035</v>
      </c>
      <c r="F27" s="16">
        <f t="shared" si="9"/>
        <v>0.25345454545454549</v>
      </c>
      <c r="G27" s="16">
        <f t="shared" si="9"/>
        <v>0.3133333333333333</v>
      </c>
      <c r="H27" s="16">
        <f t="shared" si="9"/>
        <v>0.36099999999999993</v>
      </c>
      <c r="I27" s="16">
        <f t="shared" si="9"/>
        <v>0.36</v>
      </c>
      <c r="J27" s="16">
        <f t="shared" si="9"/>
        <v>0.3647176079734219</v>
      </c>
      <c r="K27" s="16">
        <f t="shared" si="9"/>
        <v>0.36713450292397654</v>
      </c>
      <c r="L27" s="16">
        <f t="shared" si="9"/>
        <v>0.36903394255874672</v>
      </c>
      <c r="M27" s="16">
        <f t="shared" si="9"/>
        <v>0.37056603773584917</v>
      </c>
      <c r="N27" s="16">
        <f t="shared" si="9"/>
        <v>0.37182795698924731</v>
      </c>
      <c r="O27" s="15"/>
      <c r="P27" s="15"/>
      <c r="Q27" s="15"/>
      <c r="R27" s="15"/>
      <c r="S27" s="15"/>
      <c r="T27" s="15"/>
      <c r="U27" s="1"/>
      <c r="V27" s="1"/>
    </row>
    <row r="28" spans="1:22" ht="20" customHeight="1">
      <c r="A28" s="1"/>
      <c r="B28" s="1"/>
      <c r="C28" s="1" t="s">
        <v>114</v>
      </c>
      <c r="D28" s="1"/>
      <c r="E28" s="15">
        <f t="shared" ref="E28:N28" si="10">E20-E23</f>
        <v>2.5318000000000005</v>
      </c>
      <c r="F28" s="15">
        <f t="shared" si="10"/>
        <v>3.7410000000000001</v>
      </c>
      <c r="G28" s="15">
        <f t="shared" si="10"/>
        <v>5.56</v>
      </c>
      <c r="H28" s="15">
        <f t="shared" si="10"/>
        <v>8.4479999999999986</v>
      </c>
      <c r="I28" s="15">
        <f t="shared" si="10"/>
        <v>11</v>
      </c>
      <c r="J28" s="15">
        <f t="shared" si="10"/>
        <v>13.178000000000001</v>
      </c>
      <c r="K28" s="15">
        <f t="shared" si="10"/>
        <v>14.956</v>
      </c>
      <c r="L28" s="15">
        <f t="shared" si="10"/>
        <v>16.733999999999998</v>
      </c>
      <c r="M28" s="15">
        <f t="shared" si="10"/>
        <v>18.512</v>
      </c>
      <c r="N28" s="15">
        <f t="shared" si="10"/>
        <v>20.29</v>
      </c>
      <c r="O28" s="15"/>
      <c r="P28" s="15"/>
      <c r="Q28" s="15"/>
      <c r="R28" s="15"/>
      <c r="S28" s="15"/>
      <c r="T28" s="15"/>
      <c r="U28" s="1"/>
      <c r="V28" s="1"/>
    </row>
    <row r="29" spans="1:22" ht="20" customHeight="1">
      <c r="A29" s="1"/>
      <c r="B29" s="1"/>
      <c r="C29" s="1"/>
      <c r="D29" s="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</row>
    <row r="30" spans="1:22" ht="20" customHeight="1">
      <c r="A30" s="1"/>
      <c r="B30" s="1"/>
      <c r="C30" s="1" t="s">
        <v>115</v>
      </c>
      <c r="D30" s="1"/>
      <c r="E30" s="15">
        <f>E26*(1-Assumptions!$E$36)</f>
        <v>0.84607600000000049</v>
      </c>
      <c r="F30" s="15">
        <f>F26*(1-Assumptions!$E$36)</f>
        <v>1.7146200000000003</v>
      </c>
      <c r="G30" s="15">
        <f>G26*(1-Assumptions!$E$36)</f>
        <v>3.0832000000000002</v>
      </c>
      <c r="H30" s="15">
        <f>H26*(1-Assumptions!$E$36)</f>
        <v>5.3283599999999991</v>
      </c>
      <c r="I30" s="15">
        <f>I26*(1-Assumptions!$E$36)</f>
        <v>7.3800000000000008</v>
      </c>
      <c r="J30" s="15">
        <f>J26*(1-Assumptions!$E$36)</f>
        <v>9.0019600000000004</v>
      </c>
      <c r="K30" s="15">
        <f>K26*(1-Assumptions!$E$36)</f>
        <v>10.295920000000001</v>
      </c>
      <c r="L30" s="15">
        <f>L26*(1-Assumptions!$E$36)</f>
        <v>11.589879999999999</v>
      </c>
      <c r="M30" s="15">
        <f>M26*(1-Assumptions!$E$36)</f>
        <v>12.883840000000003</v>
      </c>
      <c r="N30" s="15">
        <f>N26*(1-Assumptions!$E$36)</f>
        <v>14.1778</v>
      </c>
      <c r="O30" s="15"/>
      <c r="P30" s="15"/>
      <c r="Q30" s="15"/>
      <c r="R30" s="15"/>
      <c r="S30" s="15"/>
      <c r="T30" s="15"/>
      <c r="U30" s="1"/>
      <c r="V30" s="1"/>
    </row>
    <row r="31" spans="1:22" ht="20" customHeight="1">
      <c r="A31" s="1"/>
      <c r="B31" s="1"/>
      <c r="C31" s="1" t="s">
        <v>116</v>
      </c>
      <c r="D31" s="1"/>
      <c r="E31" s="17">
        <f>E30/Assumptions!$E$15</f>
        <v>0.78340370370370416</v>
      </c>
      <c r="F31" s="17">
        <f>F30/Assumptions!$E$15</f>
        <v>1.5876111111111113</v>
      </c>
      <c r="G31" s="17">
        <f>G30/Assumptions!$E$15</f>
        <v>2.8548148148148149</v>
      </c>
      <c r="H31" s="17">
        <f>H30/Assumptions!$E$15</f>
        <v>4.9336666666666655</v>
      </c>
      <c r="I31" s="17">
        <f>I30/Assumptions!$E$15</f>
        <v>6.8333333333333339</v>
      </c>
      <c r="J31" s="17">
        <f>J30/Assumptions!$E$15</f>
        <v>8.3351481481481482</v>
      </c>
      <c r="K31" s="17">
        <f>K30/Assumptions!$E$15</f>
        <v>9.5332592592592587</v>
      </c>
      <c r="L31" s="17">
        <f>L30/Assumptions!$E$15</f>
        <v>10.731370370370369</v>
      </c>
      <c r="M31" s="17">
        <f>M30/Assumptions!$E$15</f>
        <v>11.929481481481483</v>
      </c>
      <c r="N31" s="17">
        <f>N30/Assumptions!$E$15</f>
        <v>13.127592592592592</v>
      </c>
      <c r="O31" s="15"/>
      <c r="P31" s="15"/>
      <c r="Q31" s="15"/>
      <c r="R31" s="15"/>
      <c r="S31" s="15"/>
      <c r="T31" s="15"/>
      <c r="U31" s="1"/>
      <c r="V31" s="1"/>
    </row>
    <row r="32" spans="1:22" ht="20" customHeight="1">
      <c r="A32" s="1"/>
      <c r="B32" s="1"/>
      <c r="C32" s="1" t="s">
        <v>31</v>
      </c>
      <c r="D32" s="1"/>
      <c r="E32" s="17">
        <f>E28*(1-Assumptions!$E$36)/Assumptions!$E$15</f>
        <v>1.9222925925925929</v>
      </c>
      <c r="F32" s="17">
        <f>F28*(1-Assumptions!$E$36)/Assumptions!$E$15</f>
        <v>2.8403888888888891</v>
      </c>
      <c r="G32" s="17">
        <f>G28*(1-Assumptions!$E$36)/Assumptions!$E$15</f>
        <v>4.2214814814814812</v>
      </c>
      <c r="H32" s="17">
        <f>H28*(1-Assumptions!$E$36)/Assumptions!$E$15</f>
        <v>6.4142222222222207</v>
      </c>
      <c r="I32" s="17">
        <f>I28*(1-Assumptions!$E$36)/Assumptions!$E$15</f>
        <v>8.351851851851853</v>
      </c>
      <c r="J32" s="17">
        <f>J28*(1-Assumptions!$E$36)/Assumptions!$E$15</f>
        <v>10.005518518518519</v>
      </c>
      <c r="K32" s="17">
        <f>K28*(1-Assumptions!$E$36)/Assumptions!$E$15</f>
        <v>11.355481481481482</v>
      </c>
      <c r="L32" s="17">
        <f>L28*(1-Assumptions!$E$36)/Assumptions!$E$15</f>
        <v>12.705444444444442</v>
      </c>
      <c r="M32" s="17">
        <f>M28*(1-Assumptions!$E$36)/Assumptions!$E$15</f>
        <v>14.055407407407408</v>
      </c>
      <c r="N32" s="17">
        <f>N28*(1-Assumptions!$E$36)/Assumptions!$E$15</f>
        <v>15.405370370370372</v>
      </c>
      <c r="O32" s="15"/>
      <c r="P32" s="15"/>
      <c r="Q32" s="15"/>
      <c r="R32" s="15"/>
      <c r="S32" s="15"/>
      <c r="T32" s="15"/>
      <c r="U32" s="1"/>
      <c r="V32" s="1"/>
    </row>
    <row r="33" spans="1:22" ht="20" customHeight="1">
      <c r="A33" s="1"/>
      <c r="B33" s="1"/>
      <c r="C33" s="1"/>
      <c r="D33" s="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</row>
    <row r="34" spans="1:22" ht="20" customHeight="1">
      <c r="A34" s="1"/>
      <c r="B34" s="1"/>
      <c r="C34" s="1" t="s">
        <v>117</v>
      </c>
      <c r="D34" s="1"/>
      <c r="E34" s="15">
        <f>E12*1000/Assumptions!$E$22</f>
        <v>0.3</v>
      </c>
      <c r="F34" s="15">
        <f>F12*1000/Assumptions!$E$22</f>
        <v>1.3</v>
      </c>
      <c r="G34" s="15">
        <f>G12*1000/Assumptions!$E$22</f>
        <v>4</v>
      </c>
      <c r="H34" s="15">
        <f>H12*1000/Assumptions!$E$22</f>
        <v>8.9</v>
      </c>
      <c r="I34" s="15">
        <f>I12*1000/Assumptions!$E$22</f>
        <v>15</v>
      </c>
      <c r="J34" s="15">
        <f>J12*1000/Assumptions!$E$22</f>
        <v>19</v>
      </c>
      <c r="K34" s="15">
        <f>K12*1000/Assumptions!$E$22</f>
        <v>22</v>
      </c>
      <c r="L34" s="15">
        <f>L12*1000/Assumptions!$E$22</f>
        <v>25</v>
      </c>
      <c r="M34" s="15">
        <f>M12*1000/Assumptions!$E$22</f>
        <v>28</v>
      </c>
      <c r="N34" s="15">
        <f>N12*1000/Assumptions!$E$22</f>
        <v>31</v>
      </c>
      <c r="O34" s="15"/>
      <c r="P34" s="15"/>
      <c r="Q34" s="15"/>
      <c r="R34" s="15"/>
      <c r="S34" s="15"/>
      <c r="T34" s="15"/>
      <c r="U34" s="1"/>
      <c r="V34" s="1"/>
    </row>
    <row r="35" spans="1:22" ht="20" customHeight="1">
      <c r="A35" s="1"/>
      <c r="B35" s="1"/>
      <c r="C35" s="1" t="s">
        <v>118</v>
      </c>
      <c r="D35" s="1"/>
      <c r="E35" s="16">
        <f t="shared" ref="E35:N35" si="11">E12/100</f>
        <v>3.0000000000000001E-3</v>
      </c>
      <c r="F35" s="16">
        <f t="shared" si="11"/>
        <v>1.3000000000000001E-2</v>
      </c>
      <c r="G35" s="16">
        <f t="shared" si="11"/>
        <v>0.04</v>
      </c>
      <c r="H35" s="16">
        <f t="shared" si="11"/>
        <v>8.900000000000001E-2</v>
      </c>
      <c r="I35" s="16">
        <f t="shared" si="11"/>
        <v>0.15</v>
      </c>
      <c r="J35" s="16">
        <f t="shared" si="11"/>
        <v>0.19</v>
      </c>
      <c r="K35" s="16">
        <f t="shared" si="11"/>
        <v>0.22</v>
      </c>
      <c r="L35" s="16">
        <f t="shared" si="11"/>
        <v>0.25</v>
      </c>
      <c r="M35" s="16">
        <f t="shared" si="11"/>
        <v>0.28000000000000003</v>
      </c>
      <c r="N35" s="16">
        <f t="shared" si="11"/>
        <v>0.31</v>
      </c>
      <c r="O35" s="15"/>
      <c r="P35" s="15"/>
      <c r="Q35" s="15"/>
      <c r="R35" s="15"/>
      <c r="S35" s="15"/>
      <c r="T35" s="15"/>
      <c r="U35" s="1"/>
      <c r="V35" s="1"/>
    </row>
    <row r="36" spans="1:22" ht="20" customHeight="1">
      <c r="A36" s="1"/>
      <c r="B36" s="1"/>
      <c r="C36" s="1"/>
      <c r="D36" s="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"/>
      <c r="V36" s="1"/>
    </row>
    <row r="37" spans="1:22" ht="20" customHeight="1">
      <c r="A37" s="1"/>
      <c r="B37" s="1"/>
      <c r="C37" s="1" t="s">
        <v>119</v>
      </c>
      <c r="D37" s="1"/>
      <c r="E37" s="15">
        <f>E24*Assumptions!E85</f>
        <v>1.1693181818181819</v>
      </c>
      <c r="F37" s="15">
        <f>F24*Assumptions!F85</f>
        <v>1.2862500000000001</v>
      </c>
      <c r="G37" s="15">
        <f>G24*Assumptions!G85</f>
        <v>1.4031818181818183</v>
      </c>
      <c r="H37" s="15">
        <f>H24*Assumptions!H85</f>
        <v>1.5201136363636365</v>
      </c>
      <c r="I37" s="15">
        <f>I24*Assumptions!I85</f>
        <v>1.5590909090909093</v>
      </c>
      <c r="J37" s="15">
        <f>J24*Assumptions!J85</f>
        <v>1.7150000000000003</v>
      </c>
      <c r="K37" s="15">
        <f>K24*Assumptions!K85</f>
        <v>1.8709090909090911</v>
      </c>
      <c r="L37" s="15">
        <f>L24*Assumptions!L85</f>
        <v>2.0268181818181823</v>
      </c>
      <c r="M37" s="15">
        <f>M24*Assumptions!M85</f>
        <v>2.1827272727272731</v>
      </c>
      <c r="N37" s="15">
        <f>N24*Assumptions!N85</f>
        <v>2.3386363636363638</v>
      </c>
      <c r="O37" s="15"/>
      <c r="P37" s="15"/>
      <c r="Q37" s="15"/>
      <c r="R37" s="15"/>
      <c r="S37" s="15"/>
      <c r="T37" s="15"/>
      <c r="U37" s="1"/>
      <c r="V37" s="1"/>
    </row>
    <row r="38" spans="1:22" ht="20" customHeight="1">
      <c r="A38" s="1"/>
      <c r="B38" s="1"/>
      <c r="C38" s="1" t="s">
        <v>120</v>
      </c>
      <c r="D38" s="1"/>
      <c r="E38" s="15">
        <f t="shared" ref="E38:N38" si="12">E24-E37</f>
        <v>0.33068181818181808</v>
      </c>
      <c r="F38" s="15">
        <f t="shared" si="12"/>
        <v>0.3637499999999998</v>
      </c>
      <c r="G38" s="15">
        <f t="shared" si="12"/>
        <v>0.39681818181818174</v>
      </c>
      <c r="H38" s="15">
        <f t="shared" si="12"/>
        <v>0.42988636363636346</v>
      </c>
      <c r="I38" s="15">
        <f t="shared" si="12"/>
        <v>0.4409090909090907</v>
      </c>
      <c r="J38" s="15">
        <f t="shared" si="12"/>
        <v>0.48499999999999988</v>
      </c>
      <c r="K38" s="15">
        <f t="shared" si="12"/>
        <v>0.52909090909090883</v>
      </c>
      <c r="L38" s="15">
        <f t="shared" si="12"/>
        <v>0.57318181818181779</v>
      </c>
      <c r="M38" s="15">
        <f t="shared" si="12"/>
        <v>0.61727272727272675</v>
      </c>
      <c r="N38" s="15">
        <f t="shared" si="12"/>
        <v>0.66136363636363615</v>
      </c>
      <c r="O38" s="15"/>
      <c r="P38" s="15"/>
      <c r="Q38" s="15"/>
      <c r="R38" s="15"/>
      <c r="S38" s="15"/>
      <c r="T38" s="15"/>
      <c r="U38" s="1"/>
      <c r="V38" s="1"/>
    </row>
    <row r="39" spans="1:22" ht="20" customHeight="1">
      <c r="A39" s="1"/>
      <c r="B39" s="1"/>
      <c r="C39" s="1"/>
      <c r="D39" s="1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"/>
      <c r="V39" s="1"/>
    </row>
    <row r="40" spans="1:22" ht="20" customHeight="1">
      <c r="A40" s="1"/>
      <c r="B40" s="1"/>
      <c r="C40" s="1"/>
      <c r="D40" s="1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"/>
      <c r="V40" s="1"/>
    </row>
    <row r="41" spans="1:22" ht="21" customHeight="1">
      <c r="A41" s="1"/>
      <c r="B41" s="1"/>
      <c r="C41" s="1" t="s">
        <v>121</v>
      </c>
      <c r="D41" s="1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"/>
      <c r="V41" s="1"/>
    </row>
    <row r="42" spans="1:22" ht="21" customHeight="1">
      <c r="A42" s="1"/>
      <c r="B42" s="1"/>
      <c r="C42" s="1" t="s">
        <v>122</v>
      </c>
      <c r="D42" s="1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"/>
      <c r="V42" s="1"/>
    </row>
    <row r="43" spans="1:22" ht="21" customHeight="1">
      <c r="A43" s="1"/>
      <c r="B43" s="1"/>
      <c r="C43" s="1" t="s">
        <v>123</v>
      </c>
      <c r="D43" s="1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"/>
      <c r="V43" s="1"/>
    </row>
    <row r="44" spans="1:22" ht="20" customHeight="1">
      <c r="A44" s="1"/>
      <c r="B44" s="1"/>
      <c r="C44" s="1"/>
      <c r="D44" s="1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"/>
      <c r="V44" s="1"/>
    </row>
    <row r="45" spans="1:22" ht="20" customHeight="1">
      <c r="A45" s="1"/>
      <c r="B45" s="1"/>
      <c r="C45" s="1"/>
      <c r="D45" s="1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"/>
      <c r="V45" s="1"/>
    </row>
    <row r="46" spans="1:22" ht="20" customHeight="1">
      <c r="A46" s="1"/>
      <c r="B46" s="1"/>
      <c r="C46" s="1"/>
      <c r="D46" s="1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"/>
      <c r="V46" s="1"/>
    </row>
    <row r="47" spans="1:22" ht="20" customHeight="1">
      <c r="A47" s="1"/>
      <c r="B47" s="1"/>
      <c r="C47" s="1" t="s">
        <v>124</v>
      </c>
      <c r="D47" s="1" t="s">
        <v>125</v>
      </c>
      <c r="E47" s="15" t="s">
        <v>126</v>
      </c>
      <c r="F47" s="15" t="s">
        <v>127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"/>
      <c r="V47" s="1"/>
    </row>
    <row r="48" spans="1:22" ht="20" customHeight="1">
      <c r="A48" s="1"/>
      <c r="B48" s="1"/>
      <c r="C48" s="1" t="s">
        <v>128</v>
      </c>
      <c r="D48" s="1">
        <v>1000</v>
      </c>
      <c r="E48" s="16">
        <v>0.05</v>
      </c>
      <c r="F48" s="15">
        <f>D48*E48</f>
        <v>50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"/>
      <c r="V48" s="1"/>
    </row>
    <row r="49" spans="1:22" ht="20" customHeight="1">
      <c r="A49" s="1"/>
      <c r="B49" s="1"/>
      <c r="C49" s="1" t="s">
        <v>129</v>
      </c>
      <c r="D49" s="1">
        <v>1000</v>
      </c>
      <c r="E49" s="16">
        <v>0.1</v>
      </c>
      <c r="F49" s="15">
        <f>D49*E49</f>
        <v>100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"/>
      <c r="V49" s="1"/>
    </row>
    <row r="50" spans="1:22" ht="20" customHeight="1">
      <c r="A50" s="1"/>
      <c r="B50" s="1"/>
      <c r="C50" s="1" t="s">
        <v>130</v>
      </c>
      <c r="D50" s="1">
        <v>1000</v>
      </c>
      <c r="E50" s="16">
        <v>0.5</v>
      </c>
      <c r="F50" s="15">
        <f>D50*E50</f>
        <v>500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"/>
      <c r="V50" s="1"/>
    </row>
    <row r="51" spans="1:22" ht="20" customHeight="1">
      <c r="A51" s="1"/>
      <c r="B51" s="1"/>
      <c r="C51" s="1"/>
      <c r="D51" s="1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"/>
      <c r="V51" s="1"/>
    </row>
    <row r="52" spans="1:22" ht="20" customHeight="1">
      <c r="A52" s="1"/>
      <c r="B52" s="1"/>
      <c r="C52" s="1"/>
      <c r="D52" s="1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"/>
      <c r="V52" s="1"/>
    </row>
    <row r="53" spans="1:22" ht="20" customHeight="1">
      <c r="A53" s="1"/>
      <c r="B53" s="1"/>
      <c r="C53" s="1"/>
      <c r="D53" s="1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"/>
      <c r="V53" s="1"/>
    </row>
    <row r="54" spans="1:22" ht="20" customHeight="1">
      <c r="A54" s="1"/>
      <c r="B54" s="1"/>
      <c r="C54" s="1"/>
      <c r="D54" s="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"/>
      <c r="V54" s="1"/>
    </row>
    <row r="55" spans="1:22" ht="20" customHeight="1">
      <c r="A55" s="1"/>
      <c r="B55" s="1"/>
      <c r="C55" s="1"/>
      <c r="D55" s="1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"/>
      <c r="V55" s="1"/>
    </row>
    <row r="56" spans="1:22" ht="20" customHeight="1">
      <c r="A56" s="1"/>
      <c r="B56" s="1"/>
      <c r="C56" s="1"/>
      <c r="D56" s="1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"/>
      <c r="V56" s="1"/>
    </row>
    <row r="57" spans="1:22" ht="20" customHeight="1">
      <c r="A57" s="1"/>
      <c r="B57" s="1"/>
      <c r="C57" s="1"/>
      <c r="D57" s="1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"/>
      <c r="V57" s="1"/>
    </row>
    <row r="58" spans="1:22" ht="20" customHeight="1">
      <c r="A58" s="1"/>
      <c r="B58" s="1"/>
      <c r="C58" s="1"/>
      <c r="D58" s="1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"/>
      <c r="V58" s="1"/>
    </row>
    <row r="59" spans="1:22" ht="20" customHeight="1">
      <c r="A59" s="1"/>
      <c r="B59" s="1"/>
      <c r="C59" s="1"/>
      <c r="D59" s="1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"/>
      <c r="V59" s="1"/>
    </row>
    <row r="60" spans="1:22" ht="20" customHeight="1">
      <c r="A60" s="1"/>
      <c r="B60" s="1"/>
      <c r="C60" s="1"/>
      <c r="D60" s="1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"/>
      <c r="V60" s="1"/>
    </row>
    <row r="61" spans="1:22" ht="20" customHeight="1">
      <c r="A61" s="1"/>
      <c r="B61" s="1"/>
      <c r="C61" s="1"/>
      <c r="D61" s="1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"/>
      <c r="V61" s="1"/>
    </row>
    <row r="62" spans="1:22" ht="21" customHeight="1">
      <c r="A62" s="1"/>
      <c r="B62" s="1"/>
      <c r="C62" s="22" t="s">
        <v>498</v>
      </c>
      <c r="D62" s="1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"/>
      <c r="V62" s="1"/>
    </row>
    <row r="63" spans="1:22" ht="20" customHeight="1">
      <c r="A63" s="1"/>
      <c r="B63" s="1"/>
      <c r="C63" s="1"/>
      <c r="D63" s="1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"/>
      <c r="V63" s="1"/>
    </row>
    <row r="64" spans="1:22" ht="20" customHeight="1">
      <c r="A64" s="1"/>
      <c r="B64" s="1"/>
      <c r="C64" s="1"/>
      <c r="D64" s="1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"/>
      <c r="V64" s="1"/>
    </row>
    <row r="65" spans="1:22" ht="20" customHeight="1">
      <c r="A65" s="1"/>
      <c r="B65" s="1"/>
      <c r="C65" s="1"/>
      <c r="D65" s="1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"/>
      <c r="V65" s="1"/>
    </row>
    <row r="66" spans="1:22" ht="20" customHeight="1">
      <c r="A66" s="1"/>
      <c r="B66" s="1"/>
      <c r="C66" s="1"/>
      <c r="D66" s="1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"/>
      <c r="V66" s="1"/>
    </row>
    <row r="67" spans="1:22" ht="20" customHeight="1">
      <c r="A67" s="1"/>
      <c r="B67" s="1"/>
      <c r="C67" s="1"/>
      <c r="D67" s="1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"/>
      <c r="V67" s="1"/>
    </row>
    <row r="68" spans="1:22" ht="20" customHeight="1">
      <c r="A68" s="1"/>
      <c r="B68" s="1"/>
      <c r="C68" s="1"/>
      <c r="D68" s="1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"/>
      <c r="V68" s="1"/>
    </row>
    <row r="69" spans="1:22" ht="20" customHeight="1">
      <c r="A69" s="1"/>
      <c r="B69" s="1"/>
      <c r="C69" s="1"/>
      <c r="D69" s="1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"/>
      <c r="V69" s="1"/>
    </row>
    <row r="70" spans="1:22" ht="20" customHeight="1">
      <c r="A70" s="1"/>
      <c r="B70" s="1"/>
      <c r="C70" s="1"/>
      <c r="D70" s="1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"/>
      <c r="V70" s="1"/>
    </row>
    <row r="71" spans="1:22" ht="20" customHeight="1">
      <c r="A71" s="1"/>
      <c r="B71" s="1"/>
      <c r="C71" s="1"/>
      <c r="D71" s="1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"/>
      <c r="V71" s="1"/>
    </row>
    <row r="72" spans="1:22" ht="20" customHeight="1">
      <c r="A72" s="1"/>
      <c r="B72" s="1"/>
      <c r="C72" s="1"/>
      <c r="D72" s="1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"/>
      <c r="V72" s="1"/>
    </row>
    <row r="73" spans="1:22" ht="20" customHeight="1">
      <c r="A73" s="1"/>
      <c r="B73" s="1"/>
      <c r="C73" s="1"/>
      <c r="D73" s="1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"/>
      <c r="V73" s="1"/>
    </row>
    <row r="74" spans="1:22" ht="20" customHeight="1">
      <c r="A74" s="1"/>
      <c r="B74" s="1"/>
      <c r="C74" s="1"/>
      <c r="D74" s="1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"/>
      <c r="V74" s="1"/>
    </row>
    <row r="75" spans="1:22" ht="20" customHeight="1">
      <c r="A75" s="1"/>
      <c r="B75" s="1"/>
      <c r="C75" s="1"/>
      <c r="D75" s="1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"/>
      <c r="V75" s="1"/>
    </row>
    <row r="76" spans="1:22" ht="20" customHeight="1">
      <c r="A76" s="1"/>
      <c r="B76" s="1"/>
      <c r="C76" s="1"/>
      <c r="D76" s="1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"/>
      <c r="V76" s="1"/>
    </row>
    <row r="77" spans="1:22" ht="20" customHeight="1">
      <c r="A77" s="1"/>
      <c r="B77" s="1"/>
      <c r="C77" s="1"/>
      <c r="D77" s="1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"/>
      <c r="V77" s="1"/>
    </row>
    <row r="78" spans="1:22" ht="20" customHeight="1">
      <c r="A78" s="1"/>
      <c r="B78" s="1"/>
      <c r="C78" s="1"/>
      <c r="D78" s="1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"/>
      <c r="V78" s="1"/>
    </row>
    <row r="79" spans="1:22" ht="20" customHeight="1">
      <c r="A79" s="1"/>
      <c r="B79" s="1"/>
      <c r="C79" s="1"/>
      <c r="D79" s="1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"/>
      <c r="V79" s="1"/>
    </row>
    <row r="80" spans="1:22" ht="20" customHeight="1">
      <c r="A80" s="1"/>
      <c r="B80" s="1"/>
      <c r="C80" s="1"/>
      <c r="D80" s="1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"/>
      <c r="V80" s="1"/>
    </row>
    <row r="81" spans="1:22" ht="20" customHeight="1">
      <c r="A81" s="1"/>
      <c r="B81" s="1"/>
      <c r="C81" s="1"/>
      <c r="D81" s="1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"/>
      <c r="V81" s="1"/>
    </row>
    <row r="82" spans="1:22" ht="20" customHeight="1">
      <c r="A82" s="1"/>
      <c r="B82" s="1"/>
      <c r="C82" s="1"/>
      <c r="D82" s="1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"/>
      <c r="V82" s="1"/>
    </row>
    <row r="83" spans="1:22" ht="20" customHeight="1">
      <c r="A83" s="1"/>
      <c r="B83" s="1"/>
      <c r="C83" s="1"/>
      <c r="D83" s="1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"/>
      <c r="V83" s="1"/>
    </row>
    <row r="84" spans="1:22" ht="20" customHeight="1">
      <c r="A84" s="1"/>
      <c r="B84" s="1"/>
      <c r="C84" s="1"/>
      <c r="D84" s="1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"/>
      <c r="V84" s="1"/>
    </row>
    <row r="85" spans="1:22" ht="20" customHeight="1">
      <c r="A85" s="1"/>
      <c r="B85" s="1"/>
      <c r="C85" s="1"/>
      <c r="D85" s="1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"/>
      <c r="V85" s="1"/>
    </row>
    <row r="86" spans="1:22" ht="20" customHeight="1">
      <c r="A86" s="1"/>
      <c r="B86" s="1"/>
      <c r="C86" s="1"/>
      <c r="D86" s="1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"/>
      <c r="V86" s="1"/>
    </row>
    <row r="87" spans="1:22" ht="20" customHeight="1">
      <c r="A87" s="1"/>
      <c r="B87" s="1"/>
      <c r="C87" s="1"/>
      <c r="D87" s="1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"/>
      <c r="V87" s="1"/>
    </row>
    <row r="88" spans="1:22" ht="20" customHeight="1">
      <c r="A88" s="1"/>
      <c r="B88" s="1"/>
      <c r="C88" s="1"/>
      <c r="D88" s="1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"/>
      <c r="V88" s="1"/>
    </row>
    <row r="89" spans="1:22" ht="20" customHeight="1">
      <c r="A89" s="1"/>
      <c r="B89" s="1"/>
      <c r="C89" s="1"/>
      <c r="D89" s="1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"/>
      <c r="V89" s="1"/>
    </row>
    <row r="90" spans="1:22" ht="20" customHeight="1">
      <c r="A90" s="1"/>
      <c r="B90" s="1"/>
      <c r="C90" s="1"/>
      <c r="D90" s="1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"/>
      <c r="V90" s="1"/>
    </row>
    <row r="91" spans="1:22" ht="20" customHeight="1">
      <c r="A91" s="1"/>
      <c r="B91" s="1"/>
      <c r="C91" s="1"/>
      <c r="D91" s="1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"/>
      <c r="V91" s="1"/>
    </row>
    <row r="92" spans="1:22" ht="20" customHeight="1">
      <c r="A92" s="1"/>
      <c r="B92" s="1"/>
      <c r="C92" s="1"/>
      <c r="D92" s="1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"/>
      <c r="V92" s="1"/>
    </row>
    <row r="93" spans="1:22" ht="20" customHeight="1">
      <c r="A93" s="1"/>
      <c r="B93" s="1"/>
      <c r="C93" s="1"/>
      <c r="D93" s="1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"/>
      <c r="V93" s="1"/>
    </row>
    <row r="94" spans="1:22" ht="20" customHeight="1">
      <c r="A94" s="1"/>
      <c r="B94" s="1"/>
      <c r="C94" s="1"/>
      <c r="D94" s="1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"/>
      <c r="V94" s="1"/>
    </row>
    <row r="95" spans="1:22" ht="20" customHeight="1">
      <c r="A95" s="1"/>
      <c r="B95" s="1"/>
      <c r="C95" s="1"/>
      <c r="D95" s="1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"/>
      <c r="V95" s="1"/>
    </row>
    <row r="96" spans="1:22" ht="20" customHeight="1">
      <c r="A96" s="1"/>
      <c r="B96" s="1"/>
      <c r="C96" s="1"/>
      <c r="D96" s="1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"/>
      <c r="V96" s="1"/>
    </row>
    <row r="97" spans="1:22" ht="20" customHeight="1">
      <c r="A97" s="1"/>
      <c r="B97" s="1"/>
      <c r="C97" s="1"/>
      <c r="D97" s="1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"/>
      <c r="V97" s="1"/>
    </row>
    <row r="98" spans="1:22" ht="20" customHeight="1">
      <c r="A98" s="1"/>
      <c r="B98" s="1"/>
      <c r="C98" s="1"/>
      <c r="D98" s="1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"/>
      <c r="V98" s="1"/>
    </row>
    <row r="99" spans="1:22" ht="20" customHeight="1">
      <c r="A99" s="1"/>
      <c r="B99" s="1"/>
      <c r="C99" s="1"/>
      <c r="D99" s="1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"/>
      <c r="V99" s="1"/>
    </row>
    <row r="100" spans="1:22" ht="20" customHeight="1">
      <c r="A100" s="1"/>
      <c r="B100" s="1"/>
      <c r="C100" s="1"/>
      <c r="D100" s="1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"/>
      <c r="V100" s="1"/>
    </row>
    <row r="101" spans="1:22" ht="20" customHeight="1">
      <c r="A101" s="1"/>
      <c r="B101" s="1"/>
      <c r="C101" s="1"/>
      <c r="D101" s="1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"/>
      <c r="V101" s="1"/>
    </row>
    <row r="102" spans="1:22" ht="20" customHeight="1">
      <c r="A102" s="1"/>
      <c r="B102" s="1"/>
      <c r="C102" s="1"/>
      <c r="D102" s="1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"/>
      <c r="V102" s="1"/>
    </row>
    <row r="103" spans="1:22" ht="20" customHeight="1">
      <c r="A103" s="1"/>
      <c r="B103" s="1"/>
      <c r="C103" s="1"/>
      <c r="D103" s="1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"/>
      <c r="V103" s="1"/>
    </row>
    <row r="104" spans="1:22" ht="20" customHeight="1">
      <c r="A104" s="1"/>
      <c r="B104" s="1"/>
      <c r="C104" s="1"/>
      <c r="D104" s="1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"/>
      <c r="V104" s="1"/>
    </row>
    <row r="105" spans="1:22" ht="20" customHeight="1">
      <c r="A105" s="1"/>
      <c r="B105" s="1"/>
      <c r="C105" s="1"/>
      <c r="D105" s="1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"/>
      <c r="V105" s="1"/>
    </row>
    <row r="106" spans="1:22" ht="20" customHeight="1">
      <c r="A106" s="1"/>
      <c r="B106" s="1"/>
      <c r="C106" s="1"/>
      <c r="D106" s="1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"/>
      <c r="V106" s="1"/>
    </row>
    <row r="107" spans="1:22" ht="20" customHeight="1">
      <c r="A107" s="1"/>
      <c r="B107" s="1"/>
      <c r="C107" s="1"/>
      <c r="D107" s="1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"/>
      <c r="V107" s="1"/>
    </row>
    <row r="108" spans="1:22" ht="20" customHeight="1">
      <c r="A108" s="1"/>
      <c r="B108" s="1"/>
      <c r="C108" s="1"/>
      <c r="D108" s="1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"/>
      <c r="V108" s="1"/>
    </row>
    <row r="109" spans="1:22" ht="20" customHeight="1">
      <c r="A109" s="1"/>
      <c r="B109" s="1"/>
      <c r="C109" s="1"/>
      <c r="D109" s="1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"/>
      <c r="V109" s="1"/>
    </row>
    <row r="110" spans="1:22" ht="20" customHeight="1">
      <c r="A110" s="1"/>
      <c r="B110" s="1"/>
      <c r="C110" s="1"/>
      <c r="D110" s="1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"/>
      <c r="V110" s="1"/>
    </row>
    <row r="111" spans="1:22" ht="20" customHeight="1">
      <c r="A111" s="1"/>
      <c r="B111" s="1"/>
      <c r="C111" s="1"/>
      <c r="D111" s="1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"/>
      <c r="V111" s="1"/>
    </row>
    <row r="112" spans="1:22" ht="20" customHeight="1">
      <c r="A112" s="1"/>
      <c r="B112" s="1"/>
      <c r="C112" s="1"/>
      <c r="D112" s="1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"/>
      <c r="V112" s="1"/>
    </row>
    <row r="113" spans="1:22" ht="20" customHeight="1">
      <c r="A113" s="1"/>
      <c r="B113" s="1"/>
      <c r="C113" s="1"/>
      <c r="D113" s="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"/>
      <c r="V113" s="1"/>
    </row>
    <row r="114" spans="1:22" ht="20" customHeight="1">
      <c r="A114" s="1"/>
      <c r="B114" s="1"/>
      <c r="C114" s="1"/>
      <c r="D114" s="1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"/>
      <c r="V114" s="1"/>
    </row>
    <row r="115" spans="1:22" ht="20" customHeight="1">
      <c r="A115" s="1"/>
      <c r="B115" s="1"/>
      <c r="C115" s="1"/>
      <c r="D115" s="1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"/>
      <c r="V115" s="1"/>
    </row>
    <row r="116" spans="1:22" ht="20" customHeight="1">
      <c r="A116" s="1"/>
      <c r="B116" s="1"/>
      <c r="C116" s="1"/>
      <c r="D116" s="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"/>
      <c r="V116" s="1"/>
    </row>
    <row r="117" spans="1:22" ht="20" customHeight="1">
      <c r="A117" s="1"/>
      <c r="B117" s="1"/>
      <c r="C117" s="1"/>
      <c r="D117" s="1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"/>
      <c r="V117" s="1"/>
    </row>
    <row r="118" spans="1:22" ht="20" customHeight="1">
      <c r="A118" s="1"/>
      <c r="B118" s="1"/>
      <c r="C118" s="1"/>
      <c r="D118" s="1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"/>
      <c r="V118" s="1"/>
    </row>
    <row r="119" spans="1:22" ht="20" customHeight="1">
      <c r="A119" s="1"/>
      <c r="B119" s="1"/>
      <c r="C119" s="1"/>
      <c r="D119" s="1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"/>
      <c r="V119" s="1"/>
    </row>
    <row r="120" spans="1:22" ht="20" customHeight="1">
      <c r="A120" s="1"/>
      <c r="B120" s="1"/>
      <c r="C120" s="1"/>
      <c r="D120" s="1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"/>
      <c r="V120" s="1"/>
    </row>
    <row r="121" spans="1:22" ht="20" customHeight="1">
      <c r="A121" s="1"/>
      <c r="B121" s="1"/>
      <c r="C121" s="1"/>
      <c r="D121" s="1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"/>
      <c r="V121" s="1"/>
    </row>
    <row r="122" spans="1:22" ht="20" customHeight="1">
      <c r="A122" s="1"/>
      <c r="B122" s="1"/>
      <c r="C122" s="1"/>
      <c r="D122" s="1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"/>
      <c r="V122" s="1"/>
    </row>
    <row r="123" spans="1:22" ht="20" customHeight="1">
      <c r="A123" s="1"/>
      <c r="B123" s="1"/>
      <c r="C123" s="1"/>
      <c r="D123" s="1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"/>
      <c r="V123" s="1"/>
    </row>
    <row r="124" spans="1:22" ht="20" customHeight="1">
      <c r="A124" s="1"/>
      <c r="B124" s="1"/>
      <c r="C124" s="1"/>
      <c r="D124" s="1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"/>
      <c r="V124" s="1"/>
    </row>
    <row r="125" spans="1:22" ht="20" customHeight="1">
      <c r="A125" s="1"/>
      <c r="B125" s="1"/>
      <c r="C125" s="1"/>
      <c r="D125" s="1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"/>
      <c r="V125" s="1"/>
    </row>
    <row r="126" spans="1:22" ht="20" customHeight="1">
      <c r="A126" s="1"/>
      <c r="B126" s="1"/>
      <c r="C126" s="1"/>
      <c r="D126" s="1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"/>
      <c r="V126" s="1"/>
    </row>
    <row r="127" spans="1:22" ht="20" customHeight="1">
      <c r="A127" s="1"/>
      <c r="B127" s="1"/>
      <c r="C127" s="1"/>
      <c r="D127" s="1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"/>
      <c r="V127" s="1"/>
    </row>
    <row r="128" spans="1:22" ht="20" customHeight="1">
      <c r="A128" s="1"/>
      <c r="B128" s="1"/>
      <c r="C128" s="1"/>
      <c r="D128" s="1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"/>
      <c r="V128" s="1"/>
    </row>
    <row r="129" spans="1:22" ht="20" customHeight="1">
      <c r="A129" s="1"/>
      <c r="B129" s="1"/>
      <c r="C129" s="1"/>
      <c r="D129" s="1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"/>
      <c r="V129" s="1"/>
    </row>
    <row r="130" spans="1:22" ht="20" customHeight="1">
      <c r="A130" s="1"/>
      <c r="B130" s="1"/>
      <c r="C130" s="1"/>
      <c r="D130" s="1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"/>
      <c r="V130" s="1"/>
    </row>
    <row r="131" spans="1:22" ht="20" customHeight="1">
      <c r="A131" s="1"/>
      <c r="B131" s="1"/>
      <c r="C131" s="1"/>
      <c r="D131" s="1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"/>
      <c r="V131" s="1"/>
    </row>
    <row r="132" spans="1:22" ht="20" customHeight="1">
      <c r="A132" s="1"/>
      <c r="B132" s="1"/>
      <c r="C132" s="1"/>
      <c r="D132" s="1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"/>
      <c r="V132" s="1"/>
    </row>
    <row r="133" spans="1:22" ht="20" customHeight="1">
      <c r="A133" s="1"/>
      <c r="B133" s="1"/>
      <c r="C133" s="1"/>
      <c r="D133" s="1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"/>
      <c r="V133" s="1"/>
    </row>
    <row r="134" spans="1:22" ht="20" customHeight="1">
      <c r="A134" s="1"/>
      <c r="B134" s="1"/>
      <c r="C134" s="1"/>
      <c r="D134" s="1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"/>
      <c r="V134" s="1"/>
    </row>
    <row r="135" spans="1:22" ht="20" customHeight="1">
      <c r="A135" s="1"/>
      <c r="B135" s="1"/>
      <c r="C135" s="1"/>
      <c r="D135" s="1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"/>
      <c r="V135" s="1"/>
    </row>
    <row r="136" spans="1:22" ht="20" customHeight="1">
      <c r="A136" s="1"/>
      <c r="B136" s="1"/>
      <c r="C136" s="1"/>
      <c r="D136" s="1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"/>
      <c r="V136" s="1"/>
    </row>
    <row r="137" spans="1:22" ht="20" customHeight="1">
      <c r="A137" s="1"/>
      <c r="B137" s="1"/>
      <c r="C137" s="1"/>
      <c r="D137" s="1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"/>
      <c r="V137" s="1"/>
    </row>
    <row r="138" spans="1:22" ht="20" customHeight="1">
      <c r="A138" s="1"/>
      <c r="B138" s="1"/>
      <c r="C138" s="1"/>
      <c r="D138" s="1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"/>
      <c r="V138" s="1"/>
    </row>
    <row r="139" spans="1:22" ht="20" customHeight="1">
      <c r="A139" s="1"/>
      <c r="B139" s="1"/>
      <c r="C139" s="1"/>
      <c r="D139" s="1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"/>
      <c r="V139" s="1"/>
    </row>
    <row r="140" spans="1:22" ht="20" customHeight="1">
      <c r="A140" s="1"/>
      <c r="B140" s="1"/>
      <c r="C140" s="1"/>
      <c r="D140" s="1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"/>
      <c r="V140" s="1"/>
    </row>
    <row r="141" spans="1:22" ht="20" customHeight="1">
      <c r="A141" s="1"/>
      <c r="B141" s="1"/>
      <c r="C141" s="1"/>
      <c r="D141" s="1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"/>
      <c r="V141" s="1"/>
    </row>
    <row r="142" spans="1:22" ht="20" customHeight="1">
      <c r="A142" s="1"/>
      <c r="B142" s="1"/>
      <c r="C142" s="1"/>
      <c r="D142" s="1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"/>
      <c r="V142" s="1"/>
    </row>
    <row r="143" spans="1:22" ht="20" customHeight="1">
      <c r="A143" s="1"/>
      <c r="B143" s="1"/>
      <c r="C143" s="1"/>
      <c r="D143" s="1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"/>
      <c r="V143" s="1"/>
    </row>
    <row r="144" spans="1:22" ht="20" customHeight="1">
      <c r="A144" s="1"/>
      <c r="B144" s="1"/>
      <c r="C144" s="1"/>
      <c r="D144" s="1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"/>
      <c r="V144" s="1"/>
    </row>
    <row r="145" spans="1:22" ht="20" customHeight="1">
      <c r="A145" s="1"/>
      <c r="B145" s="1"/>
      <c r="C145" s="1"/>
      <c r="D145" s="1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"/>
      <c r="V145" s="1"/>
    </row>
    <row r="146" spans="1:22" ht="20" customHeight="1">
      <c r="A146" s="1"/>
      <c r="B146" s="1"/>
      <c r="C146" s="1"/>
      <c r="D146" s="1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"/>
      <c r="V146" s="1"/>
    </row>
    <row r="147" spans="1:22" ht="20" customHeight="1">
      <c r="A147" s="1"/>
      <c r="B147" s="1"/>
      <c r="C147" s="1"/>
      <c r="D147" s="1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"/>
      <c r="V147" s="1"/>
    </row>
    <row r="148" spans="1:22" ht="20" customHeight="1">
      <c r="A148" s="1"/>
      <c r="B148" s="1"/>
      <c r="C148" s="1"/>
      <c r="D148" s="1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"/>
      <c r="V148" s="1"/>
    </row>
    <row r="149" spans="1:22" ht="20" customHeight="1">
      <c r="A149" s="1"/>
      <c r="B149" s="1"/>
      <c r="C149" s="1"/>
      <c r="D149" s="1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"/>
      <c r="V149" s="1"/>
    </row>
    <row r="150" spans="1:22" ht="20" customHeight="1">
      <c r="A150" s="1"/>
      <c r="B150" s="1"/>
      <c r="C150" s="1"/>
      <c r="D150" s="1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5"/>
  <sheetViews>
    <sheetView showGridLines="0" workbookViewId="0">
      <pane xSplit="4" ySplit="7" topLeftCell="E102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131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14" t="s">
        <v>132</v>
      </c>
      <c r="F7" s="14" t="s">
        <v>133</v>
      </c>
      <c r="G7" s="14" t="s">
        <v>134</v>
      </c>
      <c r="H7" s="14" t="s">
        <v>135</v>
      </c>
      <c r="I7" s="14" t="s">
        <v>136</v>
      </c>
      <c r="J7" s="14" t="s">
        <v>137</v>
      </c>
      <c r="K7" s="14" t="s">
        <v>138</v>
      </c>
      <c r="L7" s="14" t="s">
        <v>139</v>
      </c>
      <c r="M7" s="14" t="s">
        <v>21</v>
      </c>
      <c r="N7" s="14" t="s">
        <v>22</v>
      </c>
      <c r="O7" s="14" t="s">
        <v>23</v>
      </c>
      <c r="P7" s="14" t="s">
        <v>24</v>
      </c>
      <c r="Q7" s="14" t="s">
        <v>25</v>
      </c>
      <c r="R7" s="14" t="s">
        <v>26</v>
      </c>
      <c r="S7" s="14" t="s">
        <v>27</v>
      </c>
      <c r="T7" s="14" t="s">
        <v>28</v>
      </c>
      <c r="U7" s="1"/>
      <c r="V7" s="1"/>
    </row>
    <row r="8" spans="1:22" ht="20" customHeight="1">
      <c r="A8" s="1"/>
      <c r="B8" s="1"/>
      <c r="C8" s="1" t="s">
        <v>140</v>
      </c>
      <c r="D8" s="1"/>
      <c r="E8" s="15">
        <f t="shared" ref="E8:L8" si="0">0.25</f>
        <v>0.25</v>
      </c>
      <c r="F8" s="15">
        <f t="shared" si="0"/>
        <v>0.25</v>
      </c>
      <c r="G8" s="15">
        <f t="shared" si="0"/>
        <v>0.25</v>
      </c>
      <c r="H8" s="15">
        <f t="shared" si="0"/>
        <v>0.25</v>
      </c>
      <c r="I8" s="15">
        <f t="shared" si="0"/>
        <v>0.25</v>
      </c>
      <c r="J8" s="15">
        <f t="shared" si="0"/>
        <v>0.25</v>
      </c>
      <c r="K8" s="15">
        <f t="shared" si="0"/>
        <v>0.25</v>
      </c>
      <c r="L8" s="15">
        <f t="shared" si="0"/>
        <v>0.25</v>
      </c>
      <c r="M8" s="15">
        <f>1</f>
        <v>1</v>
      </c>
      <c r="N8" s="15">
        <f>1</f>
        <v>1</v>
      </c>
      <c r="O8" s="15">
        <f>1</f>
        <v>1</v>
      </c>
      <c r="P8" s="15">
        <f>1</f>
        <v>1</v>
      </c>
      <c r="Q8" s="15">
        <f>1</f>
        <v>1</v>
      </c>
      <c r="R8" s="15">
        <f>1</f>
        <v>1</v>
      </c>
      <c r="S8" s="15">
        <f>1</f>
        <v>1</v>
      </c>
      <c r="T8" s="15">
        <f>1</f>
        <v>1</v>
      </c>
      <c r="U8" s="1"/>
      <c r="V8" s="1"/>
    </row>
    <row r="9" spans="1:22" ht="20" customHeight="1">
      <c r="A9" s="1"/>
      <c r="B9" s="1"/>
      <c r="C9" s="1" t="s">
        <v>29</v>
      </c>
      <c r="D9" s="1"/>
      <c r="E9" s="15">
        <f>Historical!H9</f>
        <v>1.2889999999999999</v>
      </c>
      <c r="F9" s="15">
        <f>Assumptions!$E$23</f>
        <v>1.38</v>
      </c>
      <c r="G9" s="15">
        <f>(Operating!E13-$E$9-$F$9)*Assumptions!$E$27</f>
        <v>1.5937699999999999</v>
      </c>
      <c r="H9" s="15">
        <f>(Operating!E13-$E$9-$F$9)*(1-Assumptions!$E$27)</f>
        <v>1.7972300000000001</v>
      </c>
      <c r="I9" s="15">
        <f>Operating!F13*Assumptions!$E$29</f>
        <v>1.8149999999999999</v>
      </c>
      <c r="J9" s="15">
        <f>Operating!F13*Assumptions!$E$30</f>
        <v>1.93875</v>
      </c>
      <c r="K9" s="15">
        <f>Operating!F13*Assumptions!$E$33</f>
        <v>2.145</v>
      </c>
      <c r="L9" s="15">
        <f>Operating!F13*(1-SUM(Assumptions!$E$29:$E$30)-Assumptions!$E$33)</f>
        <v>2.3512500000000003</v>
      </c>
      <c r="M9" s="15">
        <f>Operating!G13*1</f>
        <v>12</v>
      </c>
      <c r="N9" s="15">
        <f>Operating!H13*1</f>
        <v>18</v>
      </c>
      <c r="O9" s="15">
        <f>Operating!I13*1</f>
        <v>25</v>
      </c>
      <c r="P9" s="15">
        <f>Operating!J13*1</f>
        <v>30.1</v>
      </c>
      <c r="Q9" s="15">
        <f>Operating!K13*1</f>
        <v>34.200000000000003</v>
      </c>
      <c r="R9" s="15">
        <f>Operating!L13*1</f>
        <v>38.299999999999997</v>
      </c>
      <c r="S9" s="15">
        <f>Operating!M13*1</f>
        <v>42.4</v>
      </c>
      <c r="T9" s="15">
        <f>Operating!N13*1</f>
        <v>46.5</v>
      </c>
      <c r="U9" s="1"/>
      <c r="V9" s="1"/>
    </row>
    <row r="10" spans="1:22" ht="20" customHeight="1">
      <c r="A10" s="1"/>
      <c r="B10" s="1"/>
      <c r="C10" s="1" t="s">
        <v>141</v>
      </c>
      <c r="D10" s="1"/>
      <c r="E10" s="15">
        <f>Historical!H10</f>
        <v>3.5999999999999997E-2</v>
      </c>
      <c r="F10" s="15">
        <f t="shared" ref="F10:T10" si="1">F9-F11</f>
        <v>2.7600000000000069E-2</v>
      </c>
      <c r="G10" s="15">
        <f t="shared" si="1"/>
        <v>9.4751999999999725E-2</v>
      </c>
      <c r="H10" s="15">
        <f t="shared" si="1"/>
        <v>0.10684799999999983</v>
      </c>
      <c r="I10" s="15">
        <f t="shared" si="1"/>
        <v>0.17357999999999985</v>
      </c>
      <c r="J10" s="15">
        <f t="shared" si="1"/>
        <v>0.18541500000000011</v>
      </c>
      <c r="K10" s="15">
        <f t="shared" si="1"/>
        <v>0.20513999999999988</v>
      </c>
      <c r="L10" s="15">
        <f t="shared" si="1"/>
        <v>0.22486499999999987</v>
      </c>
      <c r="M10" s="15">
        <f t="shared" si="1"/>
        <v>2.16</v>
      </c>
      <c r="N10" s="15">
        <f t="shared" si="1"/>
        <v>4.6320000000000014</v>
      </c>
      <c r="O10" s="15">
        <f t="shared" si="1"/>
        <v>7.6999999999999993</v>
      </c>
      <c r="P10" s="15">
        <f t="shared" si="1"/>
        <v>9.7220000000000013</v>
      </c>
      <c r="Q10" s="15">
        <f t="shared" si="1"/>
        <v>11.244000000000003</v>
      </c>
      <c r="R10" s="15">
        <f t="shared" si="1"/>
        <v>12.765999999999998</v>
      </c>
      <c r="S10" s="15">
        <f t="shared" si="1"/>
        <v>14.287999999999997</v>
      </c>
      <c r="T10" s="15">
        <f t="shared" si="1"/>
        <v>15.810000000000002</v>
      </c>
      <c r="U10" s="1"/>
      <c r="V10" s="1"/>
    </row>
    <row r="11" spans="1:22" ht="20" customHeight="1">
      <c r="A11" s="1"/>
      <c r="B11" s="1"/>
      <c r="C11" s="1" t="s">
        <v>142</v>
      </c>
      <c r="D11" s="1"/>
      <c r="E11" s="15">
        <f>Historical!H11</f>
        <v>1.2529999999999999</v>
      </c>
      <c r="F11" s="15">
        <f>F9*Assumptions!$E$24</f>
        <v>1.3523999999999998</v>
      </c>
      <c r="G11" s="15">
        <f>(Operating!E20-$E$11-$F$11)*Assumptions!$E$27</f>
        <v>1.4990180000000002</v>
      </c>
      <c r="H11" s="15">
        <f>(Operating!E20-$E$11-$F$11)*(1-Assumptions!$E$27)</f>
        <v>1.6903820000000003</v>
      </c>
      <c r="I11" s="15">
        <f>Operating!F20*Assumptions!$E$29</f>
        <v>1.6414200000000001</v>
      </c>
      <c r="J11" s="15">
        <f>Operating!F20*Assumptions!$E$30</f>
        <v>1.7533349999999999</v>
      </c>
      <c r="K11" s="15">
        <f>Operating!F20*Assumptions!$E$33</f>
        <v>1.9398600000000001</v>
      </c>
      <c r="L11" s="15">
        <f>Operating!F20*(1-SUM(Assumptions!$E$29:$E$30)-Assumptions!$E$33)</f>
        <v>2.1263850000000004</v>
      </c>
      <c r="M11" s="15">
        <f>Operating!G20*1</f>
        <v>9.84</v>
      </c>
      <c r="N11" s="15">
        <f>Operating!H20*1</f>
        <v>13.367999999999999</v>
      </c>
      <c r="O11" s="15">
        <f>Operating!I20*1</f>
        <v>17.3</v>
      </c>
      <c r="P11" s="15">
        <f>Operating!J20*1</f>
        <v>20.378</v>
      </c>
      <c r="Q11" s="15">
        <f>Operating!K20*1</f>
        <v>22.956</v>
      </c>
      <c r="R11" s="15">
        <f>Operating!L20*1</f>
        <v>25.533999999999999</v>
      </c>
      <c r="S11" s="15">
        <f>Operating!M20*1</f>
        <v>28.112000000000002</v>
      </c>
      <c r="T11" s="15">
        <f>Operating!N20*1</f>
        <v>30.689999999999998</v>
      </c>
      <c r="U11" s="1"/>
      <c r="V11" s="1"/>
    </row>
    <row r="12" spans="1:22" ht="20" customHeight="1">
      <c r="A12" s="1"/>
      <c r="B12" s="1"/>
      <c r="C12" s="1" t="s">
        <v>110</v>
      </c>
      <c r="D12" s="1"/>
      <c r="E12" s="15">
        <f>Sources!E23</f>
        <v>0.73299999999999998</v>
      </c>
      <c r="F12" s="15">
        <f>Assumptions!$E$25</f>
        <v>0.78</v>
      </c>
      <c r="G12" s="15">
        <f>(Operating!E23-$E$12-$F$12)*Assumptions!$E$27</f>
        <v>0.8224999999999999</v>
      </c>
      <c r="H12" s="15">
        <f>(Operating!E23-$E$12-$F$12)*(1-Assumptions!$E$27)</f>
        <v>0.92749999999999988</v>
      </c>
      <c r="I12" s="15">
        <f>Operating!F23*Assumptions!$E$29</f>
        <v>0.81840000000000002</v>
      </c>
      <c r="J12" s="15">
        <f>Operating!F23*Assumptions!$E$30</f>
        <v>0.87419999999999998</v>
      </c>
      <c r="K12" s="15">
        <f>Operating!F23*Assumptions!$E$33</f>
        <v>0.96720000000000006</v>
      </c>
      <c r="L12" s="15">
        <f>Operating!F23*(1-SUM(Assumptions!$E$29:$E$30)-Assumptions!$E$33)</f>
        <v>1.0602000000000003</v>
      </c>
      <c r="M12" s="15">
        <f>Operating!G23*1</f>
        <v>4.28</v>
      </c>
      <c r="N12" s="15">
        <f>Operating!H23*1</f>
        <v>4.92</v>
      </c>
      <c r="O12" s="15">
        <f>Operating!I23*1</f>
        <v>6.3</v>
      </c>
      <c r="P12" s="15">
        <f>Operating!J23*1</f>
        <v>7.2</v>
      </c>
      <c r="Q12" s="15">
        <f>Operating!K23*1</f>
        <v>8</v>
      </c>
      <c r="R12" s="15">
        <f>Operating!L23*1</f>
        <v>8.8000000000000007</v>
      </c>
      <c r="S12" s="15">
        <f>Operating!M23*1</f>
        <v>9.6</v>
      </c>
      <c r="T12" s="15">
        <f>Operating!N23*1</f>
        <v>10.4</v>
      </c>
      <c r="U12" s="1"/>
      <c r="V12" s="1"/>
    </row>
    <row r="13" spans="1:22" ht="20" customHeight="1">
      <c r="A13" s="1"/>
      <c r="B13" s="1"/>
      <c r="C13" s="1" t="s">
        <v>143</v>
      </c>
      <c r="D13" s="1"/>
      <c r="E13" s="15">
        <f>E16-E12</f>
        <v>0.42899999999999994</v>
      </c>
      <c r="F13" s="15">
        <f>Assumptions!$E$26</f>
        <v>0.4</v>
      </c>
      <c r="G13" s="15">
        <f>(Operating!E24-$E$13-$F$13)*Assumptions!$E$27</f>
        <v>0.31537000000000004</v>
      </c>
      <c r="H13" s="15">
        <f>(Operating!E24-$E$13-$F$13)*(1-Assumptions!$E$27)</f>
        <v>0.35563000000000011</v>
      </c>
      <c r="I13" s="15">
        <f>Operating!F24*Assumptions!$E$29</f>
        <v>0.36299999999999999</v>
      </c>
      <c r="J13" s="15">
        <f>Operating!F24*Assumptions!$E$30</f>
        <v>0.38774999999999998</v>
      </c>
      <c r="K13" s="15">
        <f>Operating!F24*Assumptions!$E$33</f>
        <v>0.42899999999999999</v>
      </c>
      <c r="L13" s="15">
        <f>Operating!F24*(1-SUM(Assumptions!$E$29:$E$30)-Assumptions!$E$33)</f>
        <v>0.47025</v>
      </c>
      <c r="M13" s="15">
        <f>Operating!G24*1</f>
        <v>1.8</v>
      </c>
      <c r="N13" s="15">
        <f>Operating!H24*1</f>
        <v>1.95</v>
      </c>
      <c r="O13" s="15">
        <f>Operating!I24*1</f>
        <v>2</v>
      </c>
      <c r="P13" s="15">
        <f>Operating!J24*1</f>
        <v>2.2000000000000002</v>
      </c>
      <c r="Q13" s="15">
        <f>Operating!K24*1</f>
        <v>2.4</v>
      </c>
      <c r="R13" s="15">
        <f>Operating!L24*1</f>
        <v>2.6</v>
      </c>
      <c r="S13" s="15">
        <f>Operating!M24*1</f>
        <v>2.8</v>
      </c>
      <c r="T13" s="15">
        <f>Operating!N24*1</f>
        <v>3</v>
      </c>
      <c r="U13" s="1"/>
      <c r="V13" s="1"/>
    </row>
    <row r="14" spans="1:22" ht="20" customHeight="1">
      <c r="A14" s="1"/>
      <c r="B14" s="1"/>
      <c r="C14" s="1" t="s">
        <v>144</v>
      </c>
      <c r="D14" s="1"/>
      <c r="E14" s="15">
        <f>Historical!H12</f>
        <v>0.83799999999999997</v>
      </c>
      <c r="F14" s="15">
        <f>F16*Assumptions!$E$35</f>
        <v>0.88500000000000012</v>
      </c>
      <c r="G14" s="15">
        <f>G16*Assumptions!$E$35</f>
        <v>0.85340249999999995</v>
      </c>
      <c r="H14" s="15">
        <f>H16*Assumptions!$E$35</f>
        <v>0.96234749999999991</v>
      </c>
      <c r="I14" s="15">
        <f>I16*Assumptions!$E$35</f>
        <v>0.88605</v>
      </c>
      <c r="J14" s="15">
        <f>J16*Assumptions!$E$35</f>
        <v>0.94646249999999998</v>
      </c>
      <c r="K14" s="15">
        <f>K16*Assumptions!$E$35</f>
        <v>1.04715</v>
      </c>
      <c r="L14" s="15">
        <f>L16*Assumptions!$E$35</f>
        <v>1.1478375000000003</v>
      </c>
      <c r="M14" s="15">
        <f>M16*Assumptions!$E$35</f>
        <v>4.5600000000000005</v>
      </c>
      <c r="N14" s="15">
        <f>N16*Assumptions!$E$35</f>
        <v>5.1524999999999999</v>
      </c>
      <c r="O14" s="15">
        <f>O16*Assumptions!$E$35</f>
        <v>6.2250000000000005</v>
      </c>
      <c r="P14" s="15">
        <f>P16*Assumptions!$E$35</f>
        <v>7.0500000000000007</v>
      </c>
      <c r="Q14" s="15">
        <f>Q16*Assumptions!$E$35</f>
        <v>7.8000000000000007</v>
      </c>
      <c r="R14" s="15">
        <f>R16*Assumptions!$E$35</f>
        <v>8.5500000000000007</v>
      </c>
      <c r="S14" s="15">
        <f>S16*Assumptions!$E$35</f>
        <v>9.2999999999999989</v>
      </c>
      <c r="T14" s="15">
        <f>T16*Assumptions!$E$35</f>
        <v>10.050000000000001</v>
      </c>
      <c r="U14" s="1"/>
      <c r="V14" s="1"/>
    </row>
    <row r="15" spans="1:22" ht="20" customHeight="1">
      <c r="A15" s="1"/>
      <c r="B15" s="1"/>
      <c r="C15" s="1" t="s">
        <v>145</v>
      </c>
      <c r="D15" s="1"/>
      <c r="E15" s="15">
        <f>SUM(Historical!H13:H14)</f>
        <v>0.32400000000000001</v>
      </c>
      <c r="F15" s="15">
        <f t="shared" ref="F15:T15" si="2">F16-F14</f>
        <v>0.29500000000000004</v>
      </c>
      <c r="G15" s="15">
        <f t="shared" si="2"/>
        <v>0.28446749999999998</v>
      </c>
      <c r="H15" s="15">
        <f t="shared" si="2"/>
        <v>0.32078249999999997</v>
      </c>
      <c r="I15" s="15">
        <f t="shared" si="2"/>
        <v>0.29535</v>
      </c>
      <c r="J15" s="15">
        <f t="shared" si="2"/>
        <v>0.31548749999999992</v>
      </c>
      <c r="K15" s="15">
        <f t="shared" si="2"/>
        <v>0.34905000000000008</v>
      </c>
      <c r="L15" s="15">
        <f t="shared" si="2"/>
        <v>0.38261250000000002</v>
      </c>
      <c r="M15" s="15">
        <f t="shared" si="2"/>
        <v>1.5199999999999996</v>
      </c>
      <c r="N15" s="15">
        <f t="shared" si="2"/>
        <v>1.7175000000000002</v>
      </c>
      <c r="O15" s="15">
        <f t="shared" si="2"/>
        <v>2.0750000000000002</v>
      </c>
      <c r="P15" s="15">
        <f t="shared" si="2"/>
        <v>2.3499999999999996</v>
      </c>
      <c r="Q15" s="15">
        <f t="shared" si="2"/>
        <v>2.5999999999999996</v>
      </c>
      <c r="R15" s="15">
        <f t="shared" si="2"/>
        <v>2.8499999999999996</v>
      </c>
      <c r="S15" s="15">
        <f t="shared" si="2"/>
        <v>3.0999999999999996</v>
      </c>
      <c r="T15" s="15">
        <f t="shared" si="2"/>
        <v>3.3499999999999996</v>
      </c>
      <c r="U15" s="1"/>
      <c r="V15" s="1"/>
    </row>
    <row r="16" spans="1:22" ht="20" customHeight="1">
      <c r="A16" s="1"/>
      <c r="B16" s="1"/>
      <c r="C16" s="1" t="s">
        <v>112</v>
      </c>
      <c r="D16" s="1"/>
      <c r="E16" s="15">
        <f>Historical!H15</f>
        <v>1.1619999999999999</v>
      </c>
      <c r="F16" s="15">
        <f t="shared" ref="F16:T16" si="3">SUM(F12:F13)</f>
        <v>1.1800000000000002</v>
      </c>
      <c r="G16" s="15">
        <f t="shared" si="3"/>
        <v>1.1378699999999999</v>
      </c>
      <c r="H16" s="15">
        <f t="shared" si="3"/>
        <v>1.2831299999999999</v>
      </c>
      <c r="I16" s="15">
        <f t="shared" si="3"/>
        <v>1.1814</v>
      </c>
      <c r="J16" s="15">
        <f t="shared" si="3"/>
        <v>1.2619499999999999</v>
      </c>
      <c r="K16" s="15">
        <f t="shared" si="3"/>
        <v>1.3962000000000001</v>
      </c>
      <c r="L16" s="15">
        <f t="shared" si="3"/>
        <v>1.5304500000000003</v>
      </c>
      <c r="M16" s="15">
        <f t="shared" si="3"/>
        <v>6.08</v>
      </c>
      <c r="N16" s="15">
        <f t="shared" si="3"/>
        <v>6.87</v>
      </c>
      <c r="O16" s="15">
        <f t="shared" si="3"/>
        <v>8.3000000000000007</v>
      </c>
      <c r="P16" s="15">
        <f t="shared" si="3"/>
        <v>9.4</v>
      </c>
      <c r="Q16" s="15">
        <f t="shared" si="3"/>
        <v>10.4</v>
      </c>
      <c r="R16" s="15">
        <f t="shared" si="3"/>
        <v>11.4</v>
      </c>
      <c r="S16" s="15">
        <f t="shared" si="3"/>
        <v>12.399999999999999</v>
      </c>
      <c r="T16" s="15">
        <f t="shared" si="3"/>
        <v>13.4</v>
      </c>
      <c r="U16" s="1"/>
      <c r="V16" s="1"/>
    </row>
    <row r="17" spans="1:22" ht="20" customHeight="1">
      <c r="A17" s="1"/>
      <c r="B17" s="1"/>
      <c r="C17" s="1" t="s">
        <v>146</v>
      </c>
      <c r="D17" s="1"/>
      <c r="E17" s="15">
        <f>Historical!H16</f>
        <v>9.0999999999999998E-2</v>
      </c>
      <c r="F17" s="15">
        <f t="shared" ref="F17:T17" si="4">F11-F16</f>
        <v>0.17239999999999966</v>
      </c>
      <c r="G17" s="15">
        <f t="shared" si="4"/>
        <v>0.36114800000000025</v>
      </c>
      <c r="H17" s="15">
        <f t="shared" si="4"/>
        <v>0.40725200000000039</v>
      </c>
      <c r="I17" s="15">
        <f t="shared" si="4"/>
        <v>0.4600200000000001</v>
      </c>
      <c r="J17" s="15">
        <f t="shared" si="4"/>
        <v>0.49138499999999996</v>
      </c>
      <c r="K17" s="15">
        <f t="shared" si="4"/>
        <v>0.54366000000000003</v>
      </c>
      <c r="L17" s="15">
        <f t="shared" si="4"/>
        <v>0.5959350000000001</v>
      </c>
      <c r="M17" s="15">
        <f t="shared" si="4"/>
        <v>3.76</v>
      </c>
      <c r="N17" s="15">
        <f t="shared" si="4"/>
        <v>6.4979999999999984</v>
      </c>
      <c r="O17" s="15">
        <f t="shared" si="4"/>
        <v>9</v>
      </c>
      <c r="P17" s="15">
        <f t="shared" si="4"/>
        <v>10.978</v>
      </c>
      <c r="Q17" s="15">
        <f t="shared" si="4"/>
        <v>12.555999999999999</v>
      </c>
      <c r="R17" s="15">
        <f t="shared" si="4"/>
        <v>14.133999999999999</v>
      </c>
      <c r="S17" s="15">
        <f t="shared" si="4"/>
        <v>15.712000000000003</v>
      </c>
      <c r="T17" s="15">
        <f t="shared" si="4"/>
        <v>17.29</v>
      </c>
      <c r="U17" s="1"/>
      <c r="V17" s="1"/>
    </row>
    <row r="18" spans="1:22" ht="20" customHeight="1">
      <c r="A18" s="1"/>
      <c r="B18" s="1"/>
      <c r="C18" s="1" t="s">
        <v>147</v>
      </c>
      <c r="D18" s="1"/>
      <c r="E18" s="15">
        <f>SUM(Historical!H17:H19)</f>
        <v>0.16200000000000001</v>
      </c>
      <c r="F18" s="15">
        <f>0</f>
        <v>0</v>
      </c>
      <c r="G18" s="15">
        <f>0</f>
        <v>0</v>
      </c>
      <c r="H18" s="15">
        <f>0</f>
        <v>0</v>
      </c>
      <c r="I18" s="15">
        <f>0</f>
        <v>0</v>
      </c>
      <c r="J18" s="15">
        <f>0</f>
        <v>0</v>
      </c>
      <c r="K18" s="15">
        <f>0</f>
        <v>0</v>
      </c>
      <c r="L18" s="15">
        <f>0</f>
        <v>0</v>
      </c>
      <c r="M18" s="15">
        <f>0</f>
        <v>0</v>
      </c>
      <c r="N18" s="15">
        <f>0</f>
        <v>0</v>
      </c>
      <c r="O18" s="15">
        <f>0</f>
        <v>0</v>
      </c>
      <c r="P18" s="15">
        <f>0</f>
        <v>0</v>
      </c>
      <c r="Q18" s="15">
        <f>0</f>
        <v>0</v>
      </c>
      <c r="R18" s="15">
        <f>0</f>
        <v>0</v>
      </c>
      <c r="S18" s="15">
        <f>0</f>
        <v>0</v>
      </c>
      <c r="T18" s="15">
        <f>0</f>
        <v>0</v>
      </c>
      <c r="U18" s="1"/>
      <c r="V18" s="1"/>
    </row>
    <row r="19" spans="1:22" ht="20" customHeight="1">
      <c r="A19" s="1"/>
      <c r="B19" s="1"/>
      <c r="C19" s="1" t="s">
        <v>148</v>
      </c>
      <c r="D19" s="1"/>
      <c r="E19" s="15">
        <f>Historical!H20</f>
        <v>0.253</v>
      </c>
      <c r="F19" s="15">
        <f t="shared" ref="F19:T19" si="5">SUM(F17:F18)</f>
        <v>0.17239999999999966</v>
      </c>
      <c r="G19" s="15">
        <f t="shared" si="5"/>
        <v>0.36114800000000025</v>
      </c>
      <c r="H19" s="15">
        <f t="shared" si="5"/>
        <v>0.40725200000000039</v>
      </c>
      <c r="I19" s="15">
        <f t="shared" si="5"/>
        <v>0.4600200000000001</v>
      </c>
      <c r="J19" s="15">
        <f t="shared" si="5"/>
        <v>0.49138499999999996</v>
      </c>
      <c r="K19" s="15">
        <f t="shared" si="5"/>
        <v>0.54366000000000003</v>
      </c>
      <c r="L19" s="15">
        <f t="shared" si="5"/>
        <v>0.5959350000000001</v>
      </c>
      <c r="M19" s="15">
        <f t="shared" si="5"/>
        <v>3.76</v>
      </c>
      <c r="N19" s="15">
        <f t="shared" si="5"/>
        <v>6.4979999999999984</v>
      </c>
      <c r="O19" s="15">
        <f t="shared" si="5"/>
        <v>9</v>
      </c>
      <c r="P19" s="15">
        <f t="shared" si="5"/>
        <v>10.978</v>
      </c>
      <c r="Q19" s="15">
        <f t="shared" si="5"/>
        <v>12.555999999999999</v>
      </c>
      <c r="R19" s="15">
        <f t="shared" si="5"/>
        <v>14.133999999999999</v>
      </c>
      <c r="S19" s="15">
        <f t="shared" si="5"/>
        <v>15.712000000000003</v>
      </c>
      <c r="T19" s="15">
        <f t="shared" si="5"/>
        <v>17.29</v>
      </c>
      <c r="U19" s="1"/>
      <c r="V19" s="1"/>
    </row>
    <row r="20" spans="1:22" ht="20" customHeight="1">
      <c r="A20" s="1"/>
      <c r="B20" s="1"/>
      <c r="C20" s="1" t="s">
        <v>149</v>
      </c>
      <c r="D20" s="1"/>
      <c r="E20" s="15">
        <f>Historical!H21</f>
        <v>-1.7000000000000001E-2</v>
      </c>
      <c r="F20" s="15">
        <f>F19*Assumptions!$E$36</f>
        <v>3.1031999999999938E-2</v>
      </c>
      <c r="G20" s="15">
        <f>G19*Assumptions!$E$36</f>
        <v>6.5006640000000046E-2</v>
      </c>
      <c r="H20" s="15">
        <f>H19*Assumptions!$E$36</f>
        <v>7.3305360000000069E-2</v>
      </c>
      <c r="I20" s="15">
        <f>I19*Assumptions!$E$36</f>
        <v>8.2803600000000019E-2</v>
      </c>
      <c r="J20" s="15">
        <f>J19*Assumptions!$E$36</f>
        <v>8.8449299999999995E-2</v>
      </c>
      <c r="K20" s="15">
        <f>K19*Assumptions!$E$36</f>
        <v>9.7858799999999996E-2</v>
      </c>
      <c r="L20" s="15">
        <f>L19*Assumptions!$E$36</f>
        <v>0.10726830000000001</v>
      </c>
      <c r="M20" s="15">
        <f>M19*Assumptions!$E$36</f>
        <v>0.67679999999999996</v>
      </c>
      <c r="N20" s="15">
        <f>N19*Assumptions!$E$36</f>
        <v>1.1696399999999996</v>
      </c>
      <c r="O20" s="15">
        <f>O19*Assumptions!$E$36</f>
        <v>1.6199999999999999</v>
      </c>
      <c r="P20" s="15">
        <f>P19*Assumptions!$E$36</f>
        <v>1.9760399999999998</v>
      </c>
      <c r="Q20" s="15">
        <f>Q19*Assumptions!$E$36</f>
        <v>2.2600799999999999</v>
      </c>
      <c r="R20" s="15">
        <f>R19*Assumptions!$E$36</f>
        <v>2.5441199999999995</v>
      </c>
      <c r="S20" s="15">
        <f>S19*Assumptions!$E$36</f>
        <v>2.8281600000000005</v>
      </c>
      <c r="T20" s="15">
        <f>T19*Assumptions!$E$36</f>
        <v>3.1121999999999996</v>
      </c>
      <c r="U20" s="1"/>
      <c r="V20" s="1"/>
    </row>
    <row r="21" spans="1:22" ht="20" customHeight="1">
      <c r="A21" s="1"/>
      <c r="B21" s="1"/>
      <c r="C21" s="1" t="s">
        <v>150</v>
      </c>
      <c r="D21" s="1"/>
      <c r="E21" s="15">
        <f>Historical!H22</f>
        <v>0.27</v>
      </c>
      <c r="F21" s="15">
        <f t="shared" ref="F21:T21" si="6">F19-F20</f>
        <v>0.14136799999999972</v>
      </c>
      <c r="G21" s="15">
        <f t="shared" si="6"/>
        <v>0.29614136000000019</v>
      </c>
      <c r="H21" s="15">
        <f t="shared" si="6"/>
        <v>0.33394664000000029</v>
      </c>
      <c r="I21" s="15">
        <f t="shared" si="6"/>
        <v>0.37721640000000006</v>
      </c>
      <c r="J21" s="15">
        <f t="shared" si="6"/>
        <v>0.40293569999999995</v>
      </c>
      <c r="K21" s="15">
        <f t="shared" si="6"/>
        <v>0.44580120000000001</v>
      </c>
      <c r="L21" s="15">
        <f t="shared" si="6"/>
        <v>0.48866670000000012</v>
      </c>
      <c r="M21" s="15">
        <f t="shared" si="6"/>
        <v>3.0831999999999997</v>
      </c>
      <c r="N21" s="15">
        <f t="shared" si="6"/>
        <v>5.3283599999999991</v>
      </c>
      <c r="O21" s="15">
        <f t="shared" si="6"/>
        <v>7.38</v>
      </c>
      <c r="P21" s="15">
        <f t="shared" si="6"/>
        <v>9.0019600000000004</v>
      </c>
      <c r="Q21" s="15">
        <f t="shared" si="6"/>
        <v>10.295919999999999</v>
      </c>
      <c r="R21" s="15">
        <f t="shared" si="6"/>
        <v>11.589879999999999</v>
      </c>
      <c r="S21" s="15">
        <f t="shared" si="6"/>
        <v>12.883840000000003</v>
      </c>
      <c r="T21" s="15">
        <f t="shared" si="6"/>
        <v>14.1778</v>
      </c>
      <c r="U21" s="1"/>
      <c r="V21" s="1"/>
    </row>
    <row r="22" spans="1:22" ht="20" customHeight="1">
      <c r="A22" s="1"/>
      <c r="B22" s="1"/>
      <c r="C22" s="1" t="s">
        <v>151</v>
      </c>
      <c r="D22" s="1"/>
      <c r="E22" s="15">
        <f>Historical!H23</f>
        <v>1.0780000000000001</v>
      </c>
      <c r="F22" s="15">
        <f>Assumptions!$E$15</f>
        <v>1.08</v>
      </c>
      <c r="G22" s="15">
        <f>Assumptions!$E$15</f>
        <v>1.08</v>
      </c>
      <c r="H22" s="15">
        <f>Assumptions!$E$15</f>
        <v>1.08</v>
      </c>
      <c r="I22" s="15">
        <f>Assumptions!$E$15</f>
        <v>1.08</v>
      </c>
      <c r="J22" s="15">
        <f>Assumptions!$E$15</f>
        <v>1.08</v>
      </c>
      <c r="K22" s="15">
        <f>Assumptions!$E$15</f>
        <v>1.08</v>
      </c>
      <c r="L22" s="15">
        <f>Assumptions!$E$15</f>
        <v>1.08</v>
      </c>
      <c r="M22" s="15">
        <f>Assumptions!$E$15</f>
        <v>1.08</v>
      </c>
      <c r="N22" s="15">
        <f>Assumptions!$E$15</f>
        <v>1.08</v>
      </c>
      <c r="O22" s="15">
        <f>Assumptions!$E$15</f>
        <v>1.08</v>
      </c>
      <c r="P22" s="15">
        <f>Assumptions!$E$15</f>
        <v>1.08</v>
      </c>
      <c r="Q22" s="15">
        <f>Assumptions!$E$15</f>
        <v>1.08</v>
      </c>
      <c r="R22" s="15">
        <f>Assumptions!$E$15</f>
        <v>1.08</v>
      </c>
      <c r="S22" s="15">
        <f>Assumptions!$E$15</f>
        <v>1.08</v>
      </c>
      <c r="T22" s="15">
        <f>Assumptions!$E$15</f>
        <v>1.08</v>
      </c>
      <c r="U22" s="1"/>
      <c r="V22" s="1"/>
    </row>
    <row r="23" spans="1:22" ht="20" customHeight="1">
      <c r="A23" s="1"/>
      <c r="B23" s="1"/>
      <c r="C23" s="1" t="s">
        <v>152</v>
      </c>
      <c r="D23" s="1"/>
      <c r="E23" s="17">
        <f t="shared" ref="E23:T23" si="7">E21/E22</f>
        <v>0.2504638218923933</v>
      </c>
      <c r="F23" s="17">
        <f t="shared" si="7"/>
        <v>0.13089629629629604</v>
      </c>
      <c r="G23" s="17">
        <f t="shared" si="7"/>
        <v>0.27420496296296309</v>
      </c>
      <c r="H23" s="17">
        <f t="shared" si="7"/>
        <v>0.30920985185185212</v>
      </c>
      <c r="I23" s="17">
        <f t="shared" si="7"/>
        <v>0.3492744444444445</v>
      </c>
      <c r="J23" s="17">
        <f t="shared" si="7"/>
        <v>0.37308861111111102</v>
      </c>
      <c r="K23" s="17">
        <f t="shared" si="7"/>
        <v>0.41277888888888886</v>
      </c>
      <c r="L23" s="17">
        <f t="shared" si="7"/>
        <v>0.45246916666666676</v>
      </c>
      <c r="M23" s="17">
        <f t="shared" si="7"/>
        <v>2.8548148148148145</v>
      </c>
      <c r="N23" s="17">
        <f t="shared" si="7"/>
        <v>4.9336666666666655</v>
      </c>
      <c r="O23" s="17">
        <f t="shared" si="7"/>
        <v>6.833333333333333</v>
      </c>
      <c r="P23" s="17">
        <f t="shared" si="7"/>
        <v>8.3351481481481482</v>
      </c>
      <c r="Q23" s="17">
        <f t="shared" si="7"/>
        <v>9.5332592592592569</v>
      </c>
      <c r="R23" s="17">
        <f t="shared" si="7"/>
        <v>10.731370370370369</v>
      </c>
      <c r="S23" s="17">
        <f t="shared" si="7"/>
        <v>11.929481481481483</v>
      </c>
      <c r="T23" s="17">
        <f t="shared" si="7"/>
        <v>13.127592592592592</v>
      </c>
      <c r="U23" s="1"/>
      <c r="V23" s="1"/>
    </row>
    <row r="24" spans="1:22" ht="20" customHeight="1">
      <c r="A24" s="1"/>
      <c r="B24" s="1"/>
      <c r="C24" s="1"/>
      <c r="D24" s="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</row>
    <row r="25" spans="1:22" ht="20" customHeight="1">
      <c r="A25" s="1"/>
      <c r="B25" s="1"/>
      <c r="C25" s="1" t="s">
        <v>153</v>
      </c>
      <c r="D25" s="1"/>
      <c r="E25" s="15">
        <f>Historical!H28</f>
        <v>7.4999999999999997E-2</v>
      </c>
      <c r="F25" s="15">
        <f>F9*Assumptions!E75</f>
        <v>5.5199999999999999E-2</v>
      </c>
      <c r="G25" s="15">
        <f>G9*Assumptions!E75</f>
        <v>6.3750799999999996E-2</v>
      </c>
      <c r="H25" s="15">
        <f>H9*Assumptions!E75</f>
        <v>7.18892E-2</v>
      </c>
      <c r="I25" s="15">
        <f>I9*Assumptions!F75</f>
        <v>7.2599999999999998E-2</v>
      </c>
      <c r="J25" s="15">
        <f>J9*Assumptions!F75</f>
        <v>7.7549999999999994E-2</v>
      </c>
      <c r="K25" s="15">
        <f>K9*Assumptions!F75</f>
        <v>8.5800000000000001E-2</v>
      </c>
      <c r="L25" s="15">
        <f>L9*Assumptions!F75</f>
        <v>9.4050000000000009E-2</v>
      </c>
      <c r="M25" s="15">
        <f>M9*Assumptions!G75</f>
        <v>0.48</v>
      </c>
      <c r="N25" s="15">
        <f>N9*Assumptions!H75</f>
        <v>0.72</v>
      </c>
      <c r="O25" s="15">
        <f>O9*Assumptions!I75</f>
        <v>1</v>
      </c>
      <c r="P25" s="15">
        <f>P9*Assumptions!J75</f>
        <v>1.2040000000000002</v>
      </c>
      <c r="Q25" s="15">
        <f>Q9*Assumptions!K75</f>
        <v>1.3680000000000001</v>
      </c>
      <c r="R25" s="15">
        <f>R9*Assumptions!L75</f>
        <v>1.532</v>
      </c>
      <c r="S25" s="15">
        <f>S9*Assumptions!M75</f>
        <v>1.696</v>
      </c>
      <c r="T25" s="15">
        <f>T9*Assumptions!N75</f>
        <v>1.86</v>
      </c>
      <c r="U25" s="1"/>
      <c r="V25" s="1"/>
    </row>
    <row r="26" spans="1:22" ht="20" customHeight="1">
      <c r="A26" s="1"/>
      <c r="B26" s="1"/>
      <c r="C26" s="1" t="s">
        <v>154</v>
      </c>
      <c r="D26" s="1"/>
      <c r="E26" s="15">
        <f>Historical!H29</f>
        <v>0.34300000000000003</v>
      </c>
      <c r="F26" s="15">
        <f>F13*Assumptions!E85</f>
        <v>0.31181818181818188</v>
      </c>
      <c r="G26" s="15">
        <f>G13*Assumptions!E85</f>
        <v>0.24584525000000007</v>
      </c>
      <c r="H26" s="15">
        <f>H13*Assumptions!E85</f>
        <v>0.27722975000000011</v>
      </c>
      <c r="I26" s="15">
        <f>I13*Assumptions!F85</f>
        <v>0.28297500000000003</v>
      </c>
      <c r="J26" s="15">
        <f>J13*Assumptions!F85</f>
        <v>0.30226875000000003</v>
      </c>
      <c r="K26" s="15">
        <f>K13*Assumptions!F85</f>
        <v>0.33442500000000003</v>
      </c>
      <c r="L26" s="15">
        <f>L13*Assumptions!F85</f>
        <v>0.36658125000000003</v>
      </c>
      <c r="M26" s="15">
        <f>M13*Assumptions!G85</f>
        <v>1.4031818181818183</v>
      </c>
      <c r="N26" s="15">
        <f>N13*Assumptions!H85</f>
        <v>1.5201136363636365</v>
      </c>
      <c r="O26" s="15">
        <f>O13*Assumptions!I85</f>
        <v>1.5590909090909093</v>
      </c>
      <c r="P26" s="15">
        <f>P13*Assumptions!J85</f>
        <v>1.7150000000000003</v>
      </c>
      <c r="Q26" s="15">
        <f>Q13*Assumptions!K85</f>
        <v>1.8709090909090911</v>
      </c>
      <c r="R26" s="15">
        <f>R13*Assumptions!L85</f>
        <v>2.0268181818181823</v>
      </c>
      <c r="S26" s="15">
        <f>S13*Assumptions!M85</f>
        <v>2.1827272727272731</v>
      </c>
      <c r="T26" s="15">
        <f>T13*Assumptions!N85</f>
        <v>2.3386363636363638</v>
      </c>
      <c r="U26" s="1"/>
      <c r="V26" s="1"/>
    </row>
    <row r="27" spans="1:22" ht="20" customHeight="1">
      <c r="A27" s="1"/>
      <c r="B27" s="1"/>
      <c r="C27" s="1" t="s">
        <v>155</v>
      </c>
      <c r="D27" s="1"/>
      <c r="E27" s="15">
        <f>SUM(Historical!H30:H32)</f>
        <v>0.23700000000000002</v>
      </c>
      <c r="F27" s="15">
        <f>F9*Assumptions!E70</f>
        <v>0.1104</v>
      </c>
      <c r="G27" s="15">
        <f>G9*Assumptions!E70</f>
        <v>0.12750159999999999</v>
      </c>
      <c r="H27" s="15">
        <f>H9*Assumptions!E70</f>
        <v>0.1437784</v>
      </c>
      <c r="I27" s="15">
        <f>I9*Assumptions!F70</f>
        <v>0.1452</v>
      </c>
      <c r="J27" s="15">
        <f>J9*Assumptions!F70</f>
        <v>0.15509999999999999</v>
      </c>
      <c r="K27" s="15">
        <f>K9*Assumptions!F70</f>
        <v>0.1716</v>
      </c>
      <c r="L27" s="15">
        <f>L9*Assumptions!F70</f>
        <v>0.18810000000000002</v>
      </c>
      <c r="M27" s="15">
        <f>M9*Assumptions!G70</f>
        <v>0.96</v>
      </c>
      <c r="N27" s="15">
        <f>N9*Assumptions!H70</f>
        <v>1.44</v>
      </c>
      <c r="O27" s="15">
        <f>O9*Assumptions!I70</f>
        <v>2</v>
      </c>
      <c r="P27" s="15">
        <f>P9*Assumptions!J70</f>
        <v>2.4080000000000004</v>
      </c>
      <c r="Q27" s="15">
        <f>Q9*Assumptions!K70</f>
        <v>2.7360000000000002</v>
      </c>
      <c r="R27" s="15">
        <f>R9*Assumptions!L70</f>
        <v>3.0640000000000001</v>
      </c>
      <c r="S27" s="15">
        <f>S9*Assumptions!M70</f>
        <v>3.3919999999999999</v>
      </c>
      <c r="T27" s="15">
        <f>T9*Assumptions!N70</f>
        <v>3.72</v>
      </c>
      <c r="U27" s="1"/>
      <c r="V27" s="1"/>
    </row>
    <row r="28" spans="1:22" ht="20" customHeight="1">
      <c r="A28" s="1"/>
      <c r="B28" s="1"/>
      <c r="C28" s="1" t="s">
        <v>156</v>
      </c>
      <c r="D28" s="1"/>
      <c r="E28" s="15">
        <f>SUM(Historical!E43,Historical!E45,Historical!E48)</f>
        <v>1.071</v>
      </c>
      <c r="F28" s="15">
        <f t="shared" ref="F28:T28" si="8">E29</f>
        <v>1.2020000000000002</v>
      </c>
      <c r="G28" s="15">
        <f t="shared" si="8"/>
        <v>1.2572000000000003</v>
      </c>
      <c r="H28" s="15">
        <f t="shared" si="8"/>
        <v>1.3209508000000003</v>
      </c>
      <c r="I28" s="15">
        <f t="shared" si="8"/>
        <v>1.3928400000000003</v>
      </c>
      <c r="J28" s="15">
        <f t="shared" si="8"/>
        <v>1.4654400000000003</v>
      </c>
      <c r="K28" s="15">
        <f t="shared" si="8"/>
        <v>1.5429900000000003</v>
      </c>
      <c r="L28" s="15">
        <f t="shared" si="8"/>
        <v>1.6287900000000002</v>
      </c>
      <c r="M28" s="15">
        <f t="shared" si="8"/>
        <v>1.7228400000000001</v>
      </c>
      <c r="N28" s="15">
        <f t="shared" si="8"/>
        <v>2.2028400000000001</v>
      </c>
      <c r="O28" s="15">
        <f t="shared" si="8"/>
        <v>2.9228399999999999</v>
      </c>
      <c r="P28" s="15">
        <f t="shared" si="8"/>
        <v>3.9228399999999999</v>
      </c>
      <c r="Q28" s="15">
        <f t="shared" si="8"/>
        <v>5.1268399999999996</v>
      </c>
      <c r="R28" s="15">
        <f t="shared" si="8"/>
        <v>6.4948399999999999</v>
      </c>
      <c r="S28" s="15">
        <f t="shared" si="8"/>
        <v>8.02684</v>
      </c>
      <c r="T28" s="15">
        <f t="shared" si="8"/>
        <v>9.7228399999999997</v>
      </c>
      <c r="U28" s="1"/>
      <c r="V28" s="1"/>
    </row>
    <row r="29" spans="1:22" ht="20" customHeight="1">
      <c r="A29" s="1"/>
      <c r="B29" s="1"/>
      <c r="C29" s="1" t="s">
        <v>157</v>
      </c>
      <c r="D29" s="1"/>
      <c r="E29" s="15">
        <f>SUM(Historical!G43,Historical!G45,Historical!G48)</f>
        <v>1.2020000000000002</v>
      </c>
      <c r="F29" s="15">
        <f t="shared" ref="F29:T29" si="9">SUM(F28,F27)-F25</f>
        <v>1.2572000000000003</v>
      </c>
      <c r="G29" s="15">
        <f t="shared" si="9"/>
        <v>1.3209508000000003</v>
      </c>
      <c r="H29" s="15">
        <f t="shared" si="9"/>
        <v>1.3928400000000003</v>
      </c>
      <c r="I29" s="15">
        <f t="shared" si="9"/>
        <v>1.4654400000000003</v>
      </c>
      <c r="J29" s="15">
        <f t="shared" si="9"/>
        <v>1.5429900000000003</v>
      </c>
      <c r="K29" s="15">
        <f t="shared" si="9"/>
        <v>1.6287900000000002</v>
      </c>
      <c r="L29" s="15">
        <f t="shared" si="9"/>
        <v>1.7228400000000001</v>
      </c>
      <c r="M29" s="15">
        <f t="shared" si="9"/>
        <v>2.2028400000000001</v>
      </c>
      <c r="N29" s="15">
        <f t="shared" si="9"/>
        <v>2.9228399999999999</v>
      </c>
      <c r="O29" s="15">
        <f t="shared" si="9"/>
        <v>3.9228399999999999</v>
      </c>
      <c r="P29" s="15">
        <f t="shared" si="9"/>
        <v>5.1268399999999996</v>
      </c>
      <c r="Q29" s="15">
        <f t="shared" si="9"/>
        <v>6.4948399999999999</v>
      </c>
      <c r="R29" s="15">
        <f t="shared" si="9"/>
        <v>8.02684</v>
      </c>
      <c r="S29" s="15">
        <f t="shared" si="9"/>
        <v>9.7228399999999997</v>
      </c>
      <c r="T29" s="15">
        <f t="shared" si="9"/>
        <v>11.582840000000001</v>
      </c>
      <c r="U29" s="1"/>
      <c r="V29" s="1"/>
    </row>
    <row r="30" spans="1:22" ht="20" customHeight="1">
      <c r="A30" s="1"/>
      <c r="B30" s="1"/>
      <c r="C30" s="1" t="s">
        <v>158</v>
      </c>
      <c r="D30" s="1"/>
      <c r="E30" s="15">
        <f>SUM(Historical!G40:G42,Historical!G50)</f>
        <v>2.8170000000000002</v>
      </c>
      <c r="F30" s="15">
        <f t="shared" ref="F30:T30" si="10">F32*$E$30/$E$32</f>
        <v>3.1318912386706939</v>
      </c>
      <c r="G30" s="15">
        <f t="shared" si="10"/>
        <v>3.6170393474320233</v>
      </c>
      <c r="H30" s="15">
        <f t="shared" si="10"/>
        <v>4.0787890513595162</v>
      </c>
      <c r="I30" s="15">
        <f t="shared" si="10"/>
        <v>4.1191178247734133</v>
      </c>
      <c r="J30" s="15">
        <f t="shared" si="10"/>
        <v>4.399966767371601</v>
      </c>
      <c r="K30" s="15">
        <f t="shared" si="10"/>
        <v>4.8680483383685793</v>
      </c>
      <c r="L30" s="15">
        <f t="shared" si="10"/>
        <v>5.3361299093655585</v>
      </c>
      <c r="M30" s="15">
        <f t="shared" si="10"/>
        <v>6.8084592145015099</v>
      </c>
      <c r="N30" s="15">
        <f t="shared" si="10"/>
        <v>10.212688821752264</v>
      </c>
      <c r="O30" s="15">
        <f t="shared" si="10"/>
        <v>14.184290030211477</v>
      </c>
      <c r="P30" s="15">
        <f t="shared" si="10"/>
        <v>17.07788519637462</v>
      </c>
      <c r="Q30" s="15">
        <f t="shared" si="10"/>
        <v>19.404108761329304</v>
      </c>
      <c r="R30" s="15">
        <f t="shared" si="10"/>
        <v>21.730332326283982</v>
      </c>
      <c r="S30" s="15">
        <f t="shared" si="10"/>
        <v>24.056555891238666</v>
      </c>
      <c r="T30" s="15">
        <f t="shared" si="10"/>
        <v>26.382779456193347</v>
      </c>
      <c r="U30" s="1"/>
      <c r="V30" s="1"/>
    </row>
    <row r="31" spans="1:22" ht="20" customHeight="1">
      <c r="A31" s="1"/>
      <c r="B31" s="1"/>
      <c r="C31" s="1" t="s">
        <v>159</v>
      </c>
      <c r="D31" s="1"/>
      <c r="E31" s="15">
        <f>SUM(Historical!G54,Historical!G56,Historical!G58:G59,Historical!G61)</f>
        <v>1.8239999999999998</v>
      </c>
      <c r="F31" s="15">
        <f t="shared" ref="F31:T31" si="11">F32*$E$31/$E$32</f>
        <v>2.0278912386706938</v>
      </c>
      <c r="G31" s="15">
        <f t="shared" si="11"/>
        <v>2.3420233474320233</v>
      </c>
      <c r="H31" s="15">
        <f t="shared" si="11"/>
        <v>2.6410050513595156</v>
      </c>
      <c r="I31" s="15">
        <f t="shared" si="11"/>
        <v>2.6671178247734129</v>
      </c>
      <c r="J31" s="15">
        <f t="shared" si="11"/>
        <v>2.8489667673716004</v>
      </c>
      <c r="K31" s="15">
        <f t="shared" si="11"/>
        <v>3.1520483383685791</v>
      </c>
      <c r="L31" s="15">
        <f t="shared" si="11"/>
        <v>3.4551299093655579</v>
      </c>
      <c r="M31" s="15">
        <f t="shared" si="11"/>
        <v>4.4084592145015096</v>
      </c>
      <c r="N31" s="15">
        <f t="shared" si="11"/>
        <v>6.6126888217522639</v>
      </c>
      <c r="O31" s="15">
        <f t="shared" si="11"/>
        <v>9.1842900302114767</v>
      </c>
      <c r="P31" s="15">
        <f t="shared" si="11"/>
        <v>11.057885196374619</v>
      </c>
      <c r="Q31" s="15">
        <f t="shared" si="11"/>
        <v>12.564108761329301</v>
      </c>
      <c r="R31" s="15">
        <f t="shared" si="11"/>
        <v>14.070332326283982</v>
      </c>
      <c r="S31" s="15">
        <f t="shared" si="11"/>
        <v>15.576555891238664</v>
      </c>
      <c r="T31" s="15">
        <f t="shared" si="11"/>
        <v>17.082779456193347</v>
      </c>
      <c r="U31" s="1"/>
      <c r="V31" s="1"/>
    </row>
    <row r="32" spans="1:22" ht="20" customHeight="1">
      <c r="A32" s="1"/>
      <c r="B32" s="1"/>
      <c r="C32" s="1" t="s">
        <v>160</v>
      </c>
      <c r="D32" s="1"/>
      <c r="E32" s="15">
        <f>E30-E31</f>
        <v>0.99300000000000033</v>
      </c>
      <c r="F32" s="15">
        <f>F9/F8*Assumptions!E80</f>
        <v>1.1039999999999999</v>
      </c>
      <c r="G32" s="15">
        <f>G9/G8*Assumptions!E80</f>
        <v>1.2750159999999999</v>
      </c>
      <c r="H32" s="15">
        <f>H9/H8*Assumptions!E80</f>
        <v>1.4377840000000002</v>
      </c>
      <c r="I32" s="15">
        <f>I9/I8*Assumptions!F80</f>
        <v>1.452</v>
      </c>
      <c r="J32" s="15">
        <f>J9/J8*Assumptions!F80</f>
        <v>1.5510000000000002</v>
      </c>
      <c r="K32" s="15">
        <f>K9/K8*Assumptions!F80</f>
        <v>1.7160000000000002</v>
      </c>
      <c r="L32" s="15">
        <f>L9/L8*Assumptions!F80</f>
        <v>1.8810000000000002</v>
      </c>
      <c r="M32" s="15">
        <f>M9/M8*Assumptions!G80</f>
        <v>2.4000000000000004</v>
      </c>
      <c r="N32" s="15">
        <f>N9/N8*Assumptions!H80</f>
        <v>3.6</v>
      </c>
      <c r="O32" s="15">
        <f>O9/O8*Assumptions!I80</f>
        <v>5</v>
      </c>
      <c r="P32" s="15">
        <f>P9/P8*Assumptions!J80</f>
        <v>6.0200000000000005</v>
      </c>
      <c r="Q32" s="15">
        <f>Q9/Q8*Assumptions!K80</f>
        <v>6.8400000000000007</v>
      </c>
      <c r="R32" s="15">
        <f>R9/R8*Assumptions!L80</f>
        <v>7.66</v>
      </c>
      <c r="S32" s="15">
        <f>S9/S8*Assumptions!M80</f>
        <v>8.48</v>
      </c>
      <c r="T32" s="15">
        <f>T9/T8*Assumptions!N80</f>
        <v>9.3000000000000007</v>
      </c>
      <c r="U32" s="1"/>
      <c r="V32" s="1"/>
    </row>
    <row r="33" spans="1:22" ht="20" customHeight="1">
      <c r="A33" s="1"/>
      <c r="B33" s="1"/>
      <c r="C33" s="1" t="s">
        <v>161</v>
      </c>
      <c r="D33" s="1"/>
      <c r="E33" s="15"/>
      <c r="F33" s="15">
        <f t="shared" ref="F33:T33" si="12">F30-E30</f>
        <v>0.31489123867069369</v>
      </c>
      <c r="G33" s="15">
        <f t="shared" si="12"/>
        <v>0.48514810876132941</v>
      </c>
      <c r="H33" s="15">
        <f t="shared" si="12"/>
        <v>0.46174970392749293</v>
      </c>
      <c r="I33" s="15">
        <f t="shared" si="12"/>
        <v>4.0328773413897068E-2</v>
      </c>
      <c r="J33" s="15">
        <f t="shared" si="12"/>
        <v>0.28084894259818771</v>
      </c>
      <c r="K33" s="15">
        <f t="shared" si="12"/>
        <v>0.46808157099697834</v>
      </c>
      <c r="L33" s="15">
        <f t="shared" si="12"/>
        <v>0.46808157099697922</v>
      </c>
      <c r="M33" s="15">
        <f t="shared" si="12"/>
        <v>1.4723293051359514</v>
      </c>
      <c r="N33" s="15">
        <f t="shared" si="12"/>
        <v>3.4042296072507545</v>
      </c>
      <c r="O33" s="15">
        <f t="shared" si="12"/>
        <v>3.9716012084592123</v>
      </c>
      <c r="P33" s="15">
        <f t="shared" si="12"/>
        <v>2.8935951661631432</v>
      </c>
      <c r="Q33" s="15">
        <f t="shared" si="12"/>
        <v>2.3262235649546845</v>
      </c>
      <c r="R33" s="15">
        <f t="shared" si="12"/>
        <v>2.3262235649546774</v>
      </c>
      <c r="S33" s="15">
        <f t="shared" si="12"/>
        <v>2.3262235649546845</v>
      </c>
      <c r="T33" s="15">
        <f t="shared" si="12"/>
        <v>2.326223564954681</v>
      </c>
      <c r="U33" s="1"/>
      <c r="V33" s="1"/>
    </row>
    <row r="34" spans="1:22" ht="20" customHeight="1">
      <c r="A34" s="1"/>
      <c r="B34" s="1"/>
      <c r="C34" s="1" t="s">
        <v>162</v>
      </c>
      <c r="D34" s="1"/>
      <c r="E34" s="15"/>
      <c r="F34" s="15">
        <f t="shared" ref="F34:T34" si="13">F31-E31</f>
        <v>0.20389123867069392</v>
      </c>
      <c r="G34" s="15">
        <f t="shared" si="13"/>
        <v>0.31413210876132958</v>
      </c>
      <c r="H34" s="15">
        <f t="shared" si="13"/>
        <v>0.29898170392749224</v>
      </c>
      <c r="I34" s="15">
        <f t="shared" si="13"/>
        <v>2.6112773413897283E-2</v>
      </c>
      <c r="J34" s="15">
        <f t="shared" si="13"/>
        <v>0.18184894259818751</v>
      </c>
      <c r="K34" s="15">
        <f t="shared" si="13"/>
        <v>0.30308157099697874</v>
      </c>
      <c r="L34" s="15">
        <f t="shared" si="13"/>
        <v>0.30308157099697874</v>
      </c>
      <c r="M34" s="15">
        <f t="shared" si="13"/>
        <v>0.95332930513595171</v>
      </c>
      <c r="N34" s="15">
        <f t="shared" si="13"/>
        <v>2.2042296072507543</v>
      </c>
      <c r="O34" s="15">
        <f t="shared" si="13"/>
        <v>2.5716012084592128</v>
      </c>
      <c r="P34" s="15">
        <f t="shared" si="13"/>
        <v>1.8735951661631418</v>
      </c>
      <c r="Q34" s="15">
        <f t="shared" si="13"/>
        <v>1.5062235649546825</v>
      </c>
      <c r="R34" s="15">
        <f t="shared" si="13"/>
        <v>1.5062235649546807</v>
      </c>
      <c r="S34" s="15">
        <f t="shared" si="13"/>
        <v>1.5062235649546825</v>
      </c>
      <c r="T34" s="15">
        <f t="shared" si="13"/>
        <v>1.5062235649546825</v>
      </c>
      <c r="U34" s="1"/>
      <c r="V34" s="1"/>
    </row>
    <row r="35" spans="1:22" ht="20" customHeight="1">
      <c r="A35" s="1"/>
      <c r="B35" s="1"/>
      <c r="C35" s="1" t="s">
        <v>163</v>
      </c>
      <c r="D35" s="1"/>
      <c r="E35" s="15"/>
      <c r="F35" s="15">
        <f t="shared" ref="F35:T35" si="14">F32-E32</f>
        <v>0.11099999999999954</v>
      </c>
      <c r="G35" s="15">
        <f t="shared" si="14"/>
        <v>0.17101600000000006</v>
      </c>
      <c r="H35" s="15">
        <f t="shared" si="14"/>
        <v>0.16276800000000025</v>
      </c>
      <c r="I35" s="15">
        <f t="shared" si="14"/>
        <v>1.4215999999999784E-2</v>
      </c>
      <c r="J35" s="15">
        <f t="shared" si="14"/>
        <v>9.9000000000000199E-2</v>
      </c>
      <c r="K35" s="15">
        <f t="shared" si="14"/>
        <v>0.16500000000000004</v>
      </c>
      <c r="L35" s="15">
        <f t="shared" si="14"/>
        <v>0.16500000000000004</v>
      </c>
      <c r="M35" s="15">
        <f t="shared" si="14"/>
        <v>0.51900000000000013</v>
      </c>
      <c r="N35" s="15">
        <f t="shared" si="14"/>
        <v>1.1999999999999997</v>
      </c>
      <c r="O35" s="15">
        <f t="shared" si="14"/>
        <v>1.4</v>
      </c>
      <c r="P35" s="15">
        <f t="shared" si="14"/>
        <v>1.0200000000000005</v>
      </c>
      <c r="Q35" s="15">
        <f t="shared" si="14"/>
        <v>0.82000000000000028</v>
      </c>
      <c r="R35" s="15">
        <f t="shared" si="14"/>
        <v>0.8199999999999994</v>
      </c>
      <c r="S35" s="15">
        <f t="shared" si="14"/>
        <v>0.82000000000000028</v>
      </c>
      <c r="T35" s="15">
        <f t="shared" si="14"/>
        <v>0.82000000000000028</v>
      </c>
      <c r="U35" s="1"/>
      <c r="V35" s="1"/>
    </row>
    <row r="36" spans="1:22" ht="20" customHeight="1">
      <c r="A36" s="1"/>
      <c r="B36" s="1"/>
      <c r="C36" s="1"/>
      <c r="D36" s="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"/>
      <c r="V36" s="1"/>
    </row>
    <row r="37" spans="1:22" ht="20" customHeight="1">
      <c r="A37" s="1"/>
      <c r="B37" s="1"/>
      <c r="C37" s="1" t="s">
        <v>32</v>
      </c>
      <c r="D37" s="1"/>
      <c r="E37" s="15">
        <f>Historical!G91</f>
        <v>0.90200000000000002</v>
      </c>
      <c r="F37" s="15">
        <f t="shared" ref="F37:T37" si="15">SUM(F21,F25:F26)-F33+F34</f>
        <v>0.39738618181818186</v>
      </c>
      <c r="G37" s="15">
        <f t="shared" si="15"/>
        <v>0.43472141000000042</v>
      </c>
      <c r="H37" s="15">
        <f t="shared" si="15"/>
        <v>0.52029758999999975</v>
      </c>
      <c r="I37" s="15">
        <f t="shared" si="15"/>
        <v>0.71857540000000031</v>
      </c>
      <c r="J37" s="15">
        <f t="shared" si="15"/>
        <v>0.68375444999999979</v>
      </c>
      <c r="K37" s="15">
        <f t="shared" si="15"/>
        <v>0.70102620000000049</v>
      </c>
      <c r="L37" s="15">
        <f t="shared" si="15"/>
        <v>0.78429794999999958</v>
      </c>
      <c r="M37" s="15">
        <f t="shared" si="15"/>
        <v>4.4473818181818174</v>
      </c>
      <c r="N37" s="15">
        <f t="shared" si="15"/>
        <v>6.3684736363636354</v>
      </c>
      <c r="O37" s="15">
        <f t="shared" si="15"/>
        <v>8.5390909090909091</v>
      </c>
      <c r="P37" s="15">
        <f t="shared" si="15"/>
        <v>10.90096</v>
      </c>
      <c r="Q37" s="15">
        <f t="shared" si="15"/>
        <v>12.714829090909088</v>
      </c>
      <c r="R37" s="15">
        <f t="shared" si="15"/>
        <v>14.328698181818185</v>
      </c>
      <c r="S37" s="15">
        <f t="shared" si="15"/>
        <v>15.942567272727272</v>
      </c>
      <c r="T37" s="15">
        <f t="shared" si="15"/>
        <v>17.556436363636365</v>
      </c>
      <c r="U37" s="1"/>
      <c r="V37" s="1"/>
    </row>
    <row r="38" spans="1:22" ht="20" customHeight="1">
      <c r="A38" s="1"/>
      <c r="B38" s="1"/>
      <c r="C38" s="1" t="s">
        <v>164</v>
      </c>
      <c r="D38" s="1"/>
      <c r="E38" s="15">
        <f t="shared" ref="E38:T38" si="16">-E27</f>
        <v>-0.23700000000000002</v>
      </c>
      <c r="F38" s="15">
        <f t="shared" si="16"/>
        <v>-0.1104</v>
      </c>
      <c r="G38" s="15">
        <f t="shared" si="16"/>
        <v>-0.12750159999999999</v>
      </c>
      <c r="H38" s="15">
        <f t="shared" si="16"/>
        <v>-0.1437784</v>
      </c>
      <c r="I38" s="15">
        <f t="shared" si="16"/>
        <v>-0.1452</v>
      </c>
      <c r="J38" s="15">
        <f t="shared" si="16"/>
        <v>-0.15509999999999999</v>
      </c>
      <c r="K38" s="15">
        <f t="shared" si="16"/>
        <v>-0.1716</v>
      </c>
      <c r="L38" s="15">
        <f t="shared" si="16"/>
        <v>-0.18810000000000002</v>
      </c>
      <c r="M38" s="15">
        <f t="shared" si="16"/>
        <v>-0.96</v>
      </c>
      <c r="N38" s="15">
        <f t="shared" si="16"/>
        <v>-1.44</v>
      </c>
      <c r="O38" s="15">
        <f t="shared" si="16"/>
        <v>-2</v>
      </c>
      <c r="P38" s="15">
        <f t="shared" si="16"/>
        <v>-2.4080000000000004</v>
      </c>
      <c r="Q38" s="15">
        <f t="shared" si="16"/>
        <v>-2.7360000000000002</v>
      </c>
      <c r="R38" s="15">
        <f t="shared" si="16"/>
        <v>-3.0640000000000001</v>
      </c>
      <c r="S38" s="15">
        <f t="shared" si="16"/>
        <v>-3.3919999999999999</v>
      </c>
      <c r="T38" s="15">
        <f t="shared" si="16"/>
        <v>-3.72</v>
      </c>
      <c r="U38" s="1"/>
      <c r="V38" s="1"/>
    </row>
    <row r="39" spans="1:22" ht="20" customHeight="1">
      <c r="A39" s="1"/>
      <c r="B39" s="1"/>
      <c r="C39" s="1" t="s">
        <v>165</v>
      </c>
      <c r="D39" s="1"/>
      <c r="E39" s="15">
        <f>0</f>
        <v>0</v>
      </c>
      <c r="F39" s="15">
        <f>-Assumptions!$E$34</f>
        <v>-0.26500000000000001</v>
      </c>
      <c r="G39" s="15">
        <f>0</f>
        <v>0</v>
      </c>
      <c r="H39" s="15">
        <f>0</f>
        <v>0</v>
      </c>
      <c r="I39" s="15">
        <f>0</f>
        <v>0</v>
      </c>
      <c r="J39" s="15">
        <f>0</f>
        <v>0</v>
      </c>
      <c r="K39" s="15">
        <f>0</f>
        <v>0</v>
      </c>
      <c r="L39" s="15">
        <f>0</f>
        <v>0</v>
      </c>
      <c r="M39" s="15">
        <f>0</f>
        <v>0</v>
      </c>
      <c r="N39" s="15">
        <f>0</f>
        <v>0</v>
      </c>
      <c r="O39" s="15">
        <f>0</f>
        <v>0</v>
      </c>
      <c r="P39" s="15">
        <f>0</f>
        <v>0</v>
      </c>
      <c r="Q39" s="15">
        <f>0</f>
        <v>0</v>
      </c>
      <c r="R39" s="15">
        <f>0</f>
        <v>0</v>
      </c>
      <c r="S39" s="15">
        <f>0</f>
        <v>0</v>
      </c>
      <c r="T39" s="15">
        <f>0</f>
        <v>0</v>
      </c>
      <c r="U39" s="1"/>
      <c r="V39" s="1"/>
    </row>
    <row r="40" spans="1:22" ht="20" customHeight="1">
      <c r="A40" s="1"/>
      <c r="B40" s="1"/>
      <c r="C40" s="1" t="s">
        <v>166</v>
      </c>
      <c r="D40" s="1"/>
      <c r="E40" s="15">
        <f>Historical!G100-E38</f>
        <v>-0.03</v>
      </c>
      <c r="F40" s="15">
        <f>0</f>
        <v>0</v>
      </c>
      <c r="G40" s="15">
        <f>0</f>
        <v>0</v>
      </c>
      <c r="H40" s="15">
        <f>0</f>
        <v>0</v>
      </c>
      <c r="I40" s="15">
        <f>0</f>
        <v>0</v>
      </c>
      <c r="J40" s="15">
        <f>0</f>
        <v>0</v>
      </c>
      <c r="K40" s="15">
        <f>0</f>
        <v>0</v>
      </c>
      <c r="L40" s="15">
        <f>0</f>
        <v>0</v>
      </c>
      <c r="M40" s="15">
        <f>0</f>
        <v>0</v>
      </c>
      <c r="N40" s="15">
        <f>0</f>
        <v>0</v>
      </c>
      <c r="O40" s="15">
        <f>0</f>
        <v>0</v>
      </c>
      <c r="P40" s="15">
        <f>0</f>
        <v>0</v>
      </c>
      <c r="Q40" s="15">
        <f>0</f>
        <v>0</v>
      </c>
      <c r="R40" s="15">
        <f>0</f>
        <v>0</v>
      </c>
      <c r="S40" s="15">
        <f>0</f>
        <v>0</v>
      </c>
      <c r="T40" s="15">
        <f>0</f>
        <v>0</v>
      </c>
      <c r="U40" s="1"/>
      <c r="V40" s="1"/>
    </row>
    <row r="41" spans="1:22" ht="20" customHeight="1">
      <c r="A41" s="1"/>
      <c r="B41" s="1"/>
      <c r="C41" s="1" t="s">
        <v>167</v>
      </c>
      <c r="D41" s="1"/>
      <c r="E41" s="15">
        <f>Historical!G100</f>
        <v>-0.26700000000000002</v>
      </c>
      <c r="F41" s="15">
        <f t="shared" ref="F41:T41" si="17">SUM(F38:F40)</f>
        <v>-0.37540000000000001</v>
      </c>
      <c r="G41" s="15">
        <f t="shared" si="17"/>
        <v>-0.12750159999999999</v>
      </c>
      <c r="H41" s="15">
        <f t="shared" si="17"/>
        <v>-0.1437784</v>
      </c>
      <c r="I41" s="15">
        <f t="shared" si="17"/>
        <v>-0.1452</v>
      </c>
      <c r="J41" s="15">
        <f t="shared" si="17"/>
        <v>-0.15509999999999999</v>
      </c>
      <c r="K41" s="15">
        <f t="shared" si="17"/>
        <v>-0.1716</v>
      </c>
      <c r="L41" s="15">
        <f t="shared" si="17"/>
        <v>-0.18810000000000002</v>
      </c>
      <c r="M41" s="15">
        <f t="shared" si="17"/>
        <v>-0.96</v>
      </c>
      <c r="N41" s="15">
        <f t="shared" si="17"/>
        <v>-1.44</v>
      </c>
      <c r="O41" s="15">
        <f t="shared" si="17"/>
        <v>-2</v>
      </c>
      <c r="P41" s="15">
        <f t="shared" si="17"/>
        <v>-2.4080000000000004</v>
      </c>
      <c r="Q41" s="15">
        <f t="shared" si="17"/>
        <v>-2.7360000000000002</v>
      </c>
      <c r="R41" s="15">
        <f t="shared" si="17"/>
        <v>-3.0640000000000001</v>
      </c>
      <c r="S41" s="15">
        <f t="shared" si="17"/>
        <v>-3.3919999999999999</v>
      </c>
      <c r="T41" s="15">
        <f t="shared" si="17"/>
        <v>-3.72</v>
      </c>
      <c r="U41" s="1"/>
      <c r="V41" s="1"/>
    </row>
    <row r="42" spans="1:22" ht="20" customHeight="1">
      <c r="A42" s="1"/>
      <c r="B42" s="1"/>
      <c r="C42" s="1" t="s">
        <v>168</v>
      </c>
      <c r="D42" s="1"/>
      <c r="E42" s="15">
        <f>Historical!G104</f>
        <v>-0.27800000000000002</v>
      </c>
      <c r="F42" s="15">
        <f>-F26*Assumptions!$E$28</f>
        <v>-0.31181818181818188</v>
      </c>
      <c r="G42" s="15">
        <f>-G26*Assumptions!$E$28</f>
        <v>-0.24584525000000007</v>
      </c>
      <c r="H42" s="15">
        <f>-H26*Assumptions!$E$28</f>
        <v>-0.27722975000000011</v>
      </c>
      <c r="I42" s="15">
        <f>-I26*Assumptions!$E$28</f>
        <v>-0.28297500000000003</v>
      </c>
      <c r="J42" s="15">
        <f>-J26*Assumptions!$E$28</f>
        <v>-0.30226875000000003</v>
      </c>
      <c r="K42" s="15">
        <f>-K26*Assumptions!$E$28</f>
        <v>-0.33442500000000003</v>
      </c>
      <c r="L42" s="15">
        <f>-L26*Assumptions!$E$28</f>
        <v>-0.36658125000000003</v>
      </c>
      <c r="M42" s="15">
        <f>-M26*Assumptions!$E$28</f>
        <v>-1.4031818181818183</v>
      </c>
      <c r="N42" s="15">
        <f>-N26*Assumptions!$E$28</f>
        <v>-1.5201136363636365</v>
      </c>
      <c r="O42" s="15">
        <f>-O26*Assumptions!$E$28</f>
        <v>-1.5590909090909093</v>
      </c>
      <c r="P42" s="15">
        <f>-P26*Assumptions!$E$28</f>
        <v>-1.7150000000000003</v>
      </c>
      <c r="Q42" s="15">
        <f>-Q26*Assumptions!$E$28</f>
        <v>-1.8709090909090911</v>
      </c>
      <c r="R42" s="15">
        <f>-R26*Assumptions!$E$28</f>
        <v>-2.0268181818181823</v>
      </c>
      <c r="S42" s="15">
        <f>-S26*Assumptions!$E$28</f>
        <v>-2.1827272727272731</v>
      </c>
      <c r="T42" s="15">
        <f>-T26*Assumptions!$E$28</f>
        <v>-2.3386363636363638</v>
      </c>
      <c r="U42" s="1"/>
      <c r="V42" s="1"/>
    </row>
    <row r="43" spans="1:22" ht="20" customHeight="1">
      <c r="A43" s="1"/>
      <c r="B43" s="1"/>
      <c r="C43" s="1" t="s">
        <v>169</v>
      </c>
      <c r="D43" s="1"/>
      <c r="E43" s="15">
        <f>Historical!G105-E42</f>
        <v>-4.7999999999999987E-2</v>
      </c>
      <c r="F43" s="15">
        <f>-Assumptions!$E$21*Assumptions!$E$15*F8</f>
        <v>0</v>
      </c>
      <c r="G43" s="15">
        <f>-Assumptions!$E$21*Assumptions!$E$15*G8</f>
        <v>0</v>
      </c>
      <c r="H43" s="15">
        <f>-Assumptions!$E$21*Assumptions!$E$15*H8</f>
        <v>0</v>
      </c>
      <c r="I43" s="15">
        <f>-Assumptions!$E$21*Assumptions!$E$15*I8</f>
        <v>0</v>
      </c>
      <c r="J43" s="15">
        <f>-Assumptions!$E$21*Assumptions!$E$15*J8</f>
        <v>0</v>
      </c>
      <c r="K43" s="15">
        <f>-Assumptions!$E$21*Assumptions!$E$15*K8</f>
        <v>0</v>
      </c>
      <c r="L43" s="15">
        <f>-Assumptions!$E$21*Assumptions!$E$15*L8</f>
        <v>0</v>
      </c>
      <c r="M43" s="15">
        <f>-Assumptions!$E$21*Assumptions!$E$15*M8</f>
        <v>0</v>
      </c>
      <c r="N43" s="15">
        <f>-Assumptions!$E$21*Assumptions!$E$15*N8</f>
        <v>0</v>
      </c>
      <c r="O43" s="15">
        <f>-Assumptions!$E$21*Assumptions!$E$15*O8</f>
        <v>0</v>
      </c>
      <c r="P43" s="15">
        <f>-Assumptions!$E$21*Assumptions!$E$15*P8</f>
        <v>0</v>
      </c>
      <c r="Q43" s="15">
        <f>-Assumptions!$E$21*Assumptions!$E$15*Q8</f>
        <v>0</v>
      </c>
      <c r="R43" s="15">
        <f>-Assumptions!$E$21*Assumptions!$E$15*R8</f>
        <v>0</v>
      </c>
      <c r="S43" s="15">
        <f>-Assumptions!$E$21*Assumptions!$E$15*S8</f>
        <v>0</v>
      </c>
      <c r="T43" s="15">
        <f>-Assumptions!$E$21*Assumptions!$E$15*T8</f>
        <v>0</v>
      </c>
      <c r="U43" s="1"/>
      <c r="V43" s="1"/>
    </row>
    <row r="44" spans="1:22" ht="20" customHeight="1">
      <c r="A44" s="1"/>
      <c r="B44" s="1"/>
      <c r="C44" s="1" t="s">
        <v>170</v>
      </c>
      <c r="D44" s="1"/>
      <c r="E44" s="15">
        <f>Historical!G105</f>
        <v>-0.32600000000000001</v>
      </c>
      <c r="F44" s="15">
        <f t="shared" ref="F44:T44" si="18">SUM(F42:F43)</f>
        <v>-0.31181818181818188</v>
      </c>
      <c r="G44" s="15">
        <f t="shared" si="18"/>
        <v>-0.24584525000000007</v>
      </c>
      <c r="H44" s="15">
        <f t="shared" si="18"/>
        <v>-0.27722975000000011</v>
      </c>
      <c r="I44" s="15">
        <f t="shared" si="18"/>
        <v>-0.28297500000000003</v>
      </c>
      <c r="J44" s="15">
        <f t="shared" si="18"/>
        <v>-0.30226875000000003</v>
      </c>
      <c r="K44" s="15">
        <f t="shared" si="18"/>
        <v>-0.33442500000000003</v>
      </c>
      <c r="L44" s="15">
        <f t="shared" si="18"/>
        <v>-0.36658125000000003</v>
      </c>
      <c r="M44" s="15">
        <f t="shared" si="18"/>
        <v>-1.4031818181818183</v>
      </c>
      <c r="N44" s="15">
        <f t="shared" si="18"/>
        <v>-1.5201136363636365</v>
      </c>
      <c r="O44" s="15">
        <f t="shared" si="18"/>
        <v>-1.5590909090909093</v>
      </c>
      <c r="P44" s="15">
        <f t="shared" si="18"/>
        <v>-1.7150000000000003</v>
      </c>
      <c r="Q44" s="15">
        <f t="shared" si="18"/>
        <v>-1.8709090909090911</v>
      </c>
      <c r="R44" s="15">
        <f t="shared" si="18"/>
        <v>-2.0268181818181823</v>
      </c>
      <c r="S44" s="15">
        <f t="shared" si="18"/>
        <v>-2.1827272727272731</v>
      </c>
      <c r="T44" s="15">
        <f t="shared" si="18"/>
        <v>-2.3386363636363638</v>
      </c>
      <c r="U44" s="1"/>
      <c r="V44" s="1"/>
    </row>
    <row r="45" spans="1:22" ht="20" customHeight="1">
      <c r="A45" s="1"/>
      <c r="B45" s="1"/>
      <c r="C45" s="1" t="s">
        <v>171</v>
      </c>
      <c r="D45" s="1"/>
      <c r="E45" s="15">
        <f>Historical!G106</f>
        <v>-2E-3</v>
      </c>
      <c r="F45" s="15">
        <f>0</f>
        <v>0</v>
      </c>
      <c r="G45" s="15">
        <f>0</f>
        <v>0</v>
      </c>
      <c r="H45" s="15">
        <f>0</f>
        <v>0</v>
      </c>
      <c r="I45" s="15">
        <f>0</f>
        <v>0</v>
      </c>
      <c r="J45" s="15">
        <f>0</f>
        <v>0</v>
      </c>
      <c r="K45" s="15">
        <f>0</f>
        <v>0</v>
      </c>
      <c r="L45" s="15">
        <f>0</f>
        <v>0</v>
      </c>
      <c r="M45" s="15">
        <f>0</f>
        <v>0</v>
      </c>
      <c r="N45" s="15">
        <f>0</f>
        <v>0</v>
      </c>
      <c r="O45" s="15">
        <f>0</f>
        <v>0</v>
      </c>
      <c r="P45" s="15">
        <f>0</f>
        <v>0</v>
      </c>
      <c r="Q45" s="15">
        <f>0</f>
        <v>0</v>
      </c>
      <c r="R45" s="15">
        <f>0</f>
        <v>0</v>
      </c>
      <c r="S45" s="15">
        <f>0</f>
        <v>0</v>
      </c>
      <c r="T45" s="15">
        <f>0</f>
        <v>0</v>
      </c>
      <c r="U45" s="1"/>
      <c r="V45" s="1"/>
    </row>
    <row r="46" spans="1:22" ht="20" customHeight="1">
      <c r="A46" s="1"/>
      <c r="B46" s="1"/>
      <c r="C46" s="1" t="s">
        <v>172</v>
      </c>
      <c r="D46" s="1"/>
      <c r="E46" s="15">
        <f>Historical!G107</f>
        <v>0.307</v>
      </c>
      <c r="F46" s="15">
        <f t="shared" ref="F46:T46" si="19">SUM(F37,F41,F44:F45)</f>
        <v>-0.28983200000000003</v>
      </c>
      <c r="G46" s="15">
        <f t="shared" si="19"/>
        <v>6.1374560000000355E-2</v>
      </c>
      <c r="H46" s="15">
        <f t="shared" si="19"/>
        <v>9.9289439999999674E-2</v>
      </c>
      <c r="I46" s="15">
        <f t="shared" si="19"/>
        <v>0.29040040000000028</v>
      </c>
      <c r="J46" s="15">
        <f t="shared" si="19"/>
        <v>0.22638569999999975</v>
      </c>
      <c r="K46" s="15">
        <f t="shared" si="19"/>
        <v>0.19500120000000049</v>
      </c>
      <c r="L46" s="15">
        <f t="shared" si="19"/>
        <v>0.22961669999999951</v>
      </c>
      <c r="M46" s="15">
        <f t="shared" si="19"/>
        <v>2.0841999999999992</v>
      </c>
      <c r="N46" s="15">
        <f t="shared" si="19"/>
        <v>3.4083599999999992</v>
      </c>
      <c r="O46" s="15">
        <f t="shared" si="19"/>
        <v>4.9799999999999995</v>
      </c>
      <c r="P46" s="15">
        <f t="shared" si="19"/>
        <v>6.7779600000000002</v>
      </c>
      <c r="Q46" s="15">
        <f t="shared" si="19"/>
        <v>8.1079199999999965</v>
      </c>
      <c r="R46" s="15">
        <f t="shared" si="19"/>
        <v>9.2378800000000023</v>
      </c>
      <c r="S46" s="15">
        <f t="shared" si="19"/>
        <v>10.367839999999999</v>
      </c>
      <c r="T46" s="15">
        <f t="shared" si="19"/>
        <v>11.497800000000002</v>
      </c>
      <c r="U46" s="1"/>
      <c r="V46" s="1"/>
    </row>
    <row r="47" spans="1:22" ht="20" customHeight="1">
      <c r="A47" s="1"/>
      <c r="B47" s="1"/>
      <c r="C47" s="1" t="s">
        <v>173</v>
      </c>
      <c r="D47" s="1"/>
      <c r="E47" s="15">
        <f>Historical!G108</f>
        <v>2.7509999999999999</v>
      </c>
      <c r="F47" s="15">
        <f t="shared" ref="F47:T47" si="20">E48</f>
        <v>3.0579999999999998</v>
      </c>
      <c r="G47" s="15">
        <f t="shared" si="20"/>
        <v>2.7681679999999997</v>
      </c>
      <c r="H47" s="15">
        <f t="shared" si="20"/>
        <v>2.8295425600000002</v>
      </c>
      <c r="I47" s="15">
        <f t="shared" si="20"/>
        <v>2.9288319999999999</v>
      </c>
      <c r="J47" s="15">
        <f t="shared" si="20"/>
        <v>3.2192324000000001</v>
      </c>
      <c r="K47" s="15">
        <f t="shared" si="20"/>
        <v>3.4456180999999999</v>
      </c>
      <c r="L47" s="15">
        <f t="shared" si="20"/>
        <v>3.6406193000000004</v>
      </c>
      <c r="M47" s="15">
        <f t="shared" si="20"/>
        <v>3.8702359999999998</v>
      </c>
      <c r="N47" s="15">
        <f t="shared" si="20"/>
        <v>5.9544359999999994</v>
      </c>
      <c r="O47" s="15">
        <f t="shared" si="20"/>
        <v>9.3627959999999995</v>
      </c>
      <c r="P47" s="15">
        <f t="shared" si="20"/>
        <v>14.342796</v>
      </c>
      <c r="Q47" s="15">
        <f t="shared" si="20"/>
        <v>21.120756</v>
      </c>
      <c r="R47" s="15">
        <f t="shared" si="20"/>
        <v>29.228675999999997</v>
      </c>
      <c r="S47" s="15">
        <f t="shared" si="20"/>
        <v>38.466555999999997</v>
      </c>
      <c r="T47" s="15">
        <f t="shared" si="20"/>
        <v>48.834395999999998</v>
      </c>
      <c r="U47" s="1"/>
      <c r="V47" s="1"/>
    </row>
    <row r="48" spans="1:22" ht="20" customHeight="1">
      <c r="A48" s="1"/>
      <c r="B48" s="1"/>
      <c r="C48" s="1" t="s">
        <v>174</v>
      </c>
      <c r="D48" s="1"/>
      <c r="E48" s="15">
        <f>Historical!G109</f>
        <v>3.0579999999999998</v>
      </c>
      <c r="F48" s="15">
        <f t="shared" ref="F48:T48" si="21">SUM(F47,F46)</f>
        <v>2.7681679999999997</v>
      </c>
      <c r="G48" s="15">
        <f t="shared" si="21"/>
        <v>2.8295425600000002</v>
      </c>
      <c r="H48" s="15">
        <f t="shared" si="21"/>
        <v>2.9288319999999999</v>
      </c>
      <c r="I48" s="15">
        <f t="shared" si="21"/>
        <v>3.2192324000000001</v>
      </c>
      <c r="J48" s="15">
        <f t="shared" si="21"/>
        <v>3.4456180999999999</v>
      </c>
      <c r="K48" s="15">
        <f t="shared" si="21"/>
        <v>3.6406193000000004</v>
      </c>
      <c r="L48" s="15">
        <f t="shared" si="21"/>
        <v>3.8702359999999998</v>
      </c>
      <c r="M48" s="15">
        <f t="shared" si="21"/>
        <v>5.9544359999999994</v>
      </c>
      <c r="N48" s="15">
        <f t="shared" si="21"/>
        <v>9.3627959999999995</v>
      </c>
      <c r="O48" s="15">
        <f t="shared" si="21"/>
        <v>14.342796</v>
      </c>
      <c r="P48" s="15">
        <f t="shared" si="21"/>
        <v>21.120756</v>
      </c>
      <c r="Q48" s="15">
        <f t="shared" si="21"/>
        <v>29.228675999999997</v>
      </c>
      <c r="R48" s="15">
        <f t="shared" si="21"/>
        <v>38.466555999999997</v>
      </c>
      <c r="S48" s="15">
        <f t="shared" si="21"/>
        <v>48.834395999999998</v>
      </c>
      <c r="T48" s="15">
        <f t="shared" si="21"/>
        <v>60.332195999999996</v>
      </c>
      <c r="U48" s="1"/>
      <c r="V48" s="1"/>
    </row>
    <row r="49" spans="1:22" ht="20" customHeight="1">
      <c r="A49" s="1"/>
      <c r="B49" s="1"/>
      <c r="C49" s="1"/>
      <c r="D49" s="1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"/>
      <c r="V49" s="1"/>
    </row>
    <row r="50" spans="1:22" ht="20" customHeight="1">
      <c r="A50" s="1"/>
      <c r="B50" s="1"/>
      <c r="C50" s="1" t="s">
        <v>175</v>
      </c>
      <c r="D50" s="1"/>
      <c r="E50" s="15">
        <f>Historical!G38</f>
        <v>3.0579999999999998</v>
      </c>
      <c r="F50" s="15">
        <f t="shared" ref="F50:T50" si="22">F48</f>
        <v>2.7681679999999997</v>
      </c>
      <c r="G50" s="15">
        <f t="shared" si="22"/>
        <v>2.8295425600000002</v>
      </c>
      <c r="H50" s="15">
        <f t="shared" si="22"/>
        <v>2.9288319999999999</v>
      </c>
      <c r="I50" s="15">
        <f t="shared" si="22"/>
        <v>3.2192324000000001</v>
      </c>
      <c r="J50" s="15">
        <f t="shared" si="22"/>
        <v>3.4456180999999999</v>
      </c>
      <c r="K50" s="15">
        <f t="shared" si="22"/>
        <v>3.6406193000000004</v>
      </c>
      <c r="L50" s="15">
        <f t="shared" si="22"/>
        <v>3.8702359999999998</v>
      </c>
      <c r="M50" s="15">
        <f t="shared" si="22"/>
        <v>5.9544359999999994</v>
      </c>
      <c r="N50" s="15">
        <f t="shared" si="22"/>
        <v>9.3627959999999995</v>
      </c>
      <c r="O50" s="15">
        <f t="shared" si="22"/>
        <v>14.342796</v>
      </c>
      <c r="P50" s="15">
        <f t="shared" si="22"/>
        <v>21.120756</v>
      </c>
      <c r="Q50" s="15">
        <f t="shared" si="22"/>
        <v>29.228675999999997</v>
      </c>
      <c r="R50" s="15">
        <f t="shared" si="22"/>
        <v>38.466555999999997</v>
      </c>
      <c r="S50" s="15">
        <f t="shared" si="22"/>
        <v>48.834395999999998</v>
      </c>
      <c r="T50" s="15">
        <f t="shared" si="22"/>
        <v>60.332195999999996</v>
      </c>
      <c r="U50" s="1"/>
      <c r="V50" s="1"/>
    </row>
    <row r="51" spans="1:22" ht="20" customHeight="1">
      <c r="A51" s="1"/>
      <c r="B51" s="1"/>
      <c r="C51" s="1" t="s">
        <v>176</v>
      </c>
      <c r="D51" s="1"/>
      <c r="E51" s="15">
        <f>Historical!G39</f>
        <v>0.83</v>
      </c>
      <c r="F51" s="15">
        <f t="shared" ref="F51:T51" si="23">$E$51</f>
        <v>0.83</v>
      </c>
      <c r="G51" s="15">
        <f t="shared" si="23"/>
        <v>0.83</v>
      </c>
      <c r="H51" s="15">
        <f t="shared" si="23"/>
        <v>0.83</v>
      </c>
      <c r="I51" s="15">
        <f t="shared" si="23"/>
        <v>0.83</v>
      </c>
      <c r="J51" s="15">
        <f t="shared" si="23"/>
        <v>0.83</v>
      </c>
      <c r="K51" s="15">
        <f t="shared" si="23"/>
        <v>0.83</v>
      </c>
      <c r="L51" s="15">
        <f t="shared" si="23"/>
        <v>0.83</v>
      </c>
      <c r="M51" s="15">
        <f t="shared" si="23"/>
        <v>0.83</v>
      </c>
      <c r="N51" s="15">
        <f t="shared" si="23"/>
        <v>0.83</v>
      </c>
      <c r="O51" s="15">
        <f t="shared" si="23"/>
        <v>0.83</v>
      </c>
      <c r="P51" s="15">
        <f t="shared" si="23"/>
        <v>0.83</v>
      </c>
      <c r="Q51" s="15">
        <f t="shared" si="23"/>
        <v>0.83</v>
      </c>
      <c r="R51" s="15">
        <f t="shared" si="23"/>
        <v>0.83</v>
      </c>
      <c r="S51" s="15">
        <f t="shared" si="23"/>
        <v>0.83</v>
      </c>
      <c r="T51" s="15">
        <f t="shared" si="23"/>
        <v>0.83</v>
      </c>
      <c r="U51" s="1"/>
      <c r="V51" s="1"/>
    </row>
    <row r="52" spans="1:22" ht="20" customHeight="1">
      <c r="A52" s="1"/>
      <c r="B52" s="1"/>
      <c r="C52" s="1" t="s">
        <v>158</v>
      </c>
      <c r="D52" s="1"/>
      <c r="E52" s="15">
        <f t="shared" ref="E52:T52" si="24">E30</f>
        <v>2.8170000000000002</v>
      </c>
      <c r="F52" s="15">
        <f t="shared" si="24"/>
        <v>3.1318912386706939</v>
      </c>
      <c r="G52" s="15">
        <f t="shared" si="24"/>
        <v>3.6170393474320233</v>
      </c>
      <c r="H52" s="15">
        <f t="shared" si="24"/>
        <v>4.0787890513595162</v>
      </c>
      <c r="I52" s="15">
        <f t="shared" si="24"/>
        <v>4.1191178247734133</v>
      </c>
      <c r="J52" s="15">
        <f t="shared" si="24"/>
        <v>4.399966767371601</v>
      </c>
      <c r="K52" s="15">
        <f t="shared" si="24"/>
        <v>4.8680483383685793</v>
      </c>
      <c r="L52" s="15">
        <f t="shared" si="24"/>
        <v>5.3361299093655585</v>
      </c>
      <c r="M52" s="15">
        <f t="shared" si="24"/>
        <v>6.8084592145015099</v>
      </c>
      <c r="N52" s="15">
        <f t="shared" si="24"/>
        <v>10.212688821752264</v>
      </c>
      <c r="O52" s="15">
        <f t="shared" si="24"/>
        <v>14.184290030211477</v>
      </c>
      <c r="P52" s="15">
        <f t="shared" si="24"/>
        <v>17.07788519637462</v>
      </c>
      <c r="Q52" s="15">
        <f t="shared" si="24"/>
        <v>19.404108761329304</v>
      </c>
      <c r="R52" s="15">
        <f t="shared" si="24"/>
        <v>21.730332326283982</v>
      </c>
      <c r="S52" s="15">
        <f t="shared" si="24"/>
        <v>24.056555891238666</v>
      </c>
      <c r="T52" s="15">
        <f t="shared" si="24"/>
        <v>26.382779456193347</v>
      </c>
      <c r="U52" s="1"/>
      <c r="V52" s="1"/>
    </row>
    <row r="53" spans="1:22" ht="20" customHeight="1">
      <c r="A53" s="1"/>
      <c r="B53" s="1"/>
      <c r="C53" s="1" t="s">
        <v>177</v>
      </c>
      <c r="D53" s="1"/>
      <c r="E53" s="15">
        <f t="shared" ref="E53:T53" si="25">E29</f>
        <v>1.2020000000000002</v>
      </c>
      <c r="F53" s="15">
        <f t="shared" si="25"/>
        <v>1.2572000000000003</v>
      </c>
      <c r="G53" s="15">
        <f t="shared" si="25"/>
        <v>1.3209508000000003</v>
      </c>
      <c r="H53" s="15">
        <f t="shared" si="25"/>
        <v>1.3928400000000003</v>
      </c>
      <c r="I53" s="15">
        <f t="shared" si="25"/>
        <v>1.4654400000000003</v>
      </c>
      <c r="J53" s="15">
        <f t="shared" si="25"/>
        <v>1.5429900000000003</v>
      </c>
      <c r="K53" s="15">
        <f t="shared" si="25"/>
        <v>1.6287900000000002</v>
      </c>
      <c r="L53" s="15">
        <f t="shared" si="25"/>
        <v>1.7228400000000001</v>
      </c>
      <c r="M53" s="15">
        <f t="shared" si="25"/>
        <v>2.2028400000000001</v>
      </c>
      <c r="N53" s="15">
        <f t="shared" si="25"/>
        <v>2.9228399999999999</v>
      </c>
      <c r="O53" s="15">
        <f t="shared" si="25"/>
        <v>3.9228399999999999</v>
      </c>
      <c r="P53" s="15">
        <f t="shared" si="25"/>
        <v>5.1268399999999996</v>
      </c>
      <c r="Q53" s="15">
        <f t="shared" si="25"/>
        <v>6.4948399999999999</v>
      </c>
      <c r="R53" s="15">
        <f t="shared" si="25"/>
        <v>8.02684</v>
      </c>
      <c r="S53" s="15">
        <f t="shared" si="25"/>
        <v>9.7228399999999997</v>
      </c>
      <c r="T53" s="15">
        <f t="shared" si="25"/>
        <v>11.582840000000001</v>
      </c>
      <c r="U53" s="1"/>
      <c r="V53" s="1"/>
    </row>
    <row r="54" spans="1:22" ht="20" customHeight="1">
      <c r="A54" s="1"/>
      <c r="B54" s="1"/>
      <c r="C54" s="1" t="s">
        <v>178</v>
      </c>
      <c r="D54" s="1"/>
      <c r="E54" s="15">
        <f>Historical!G44</f>
        <v>0.40600000000000003</v>
      </c>
      <c r="F54" s="15">
        <f t="shared" ref="F54:T54" si="26">$E$54</f>
        <v>0.40600000000000003</v>
      </c>
      <c r="G54" s="15">
        <f t="shared" si="26"/>
        <v>0.40600000000000003</v>
      </c>
      <c r="H54" s="15">
        <f t="shared" si="26"/>
        <v>0.40600000000000003</v>
      </c>
      <c r="I54" s="15">
        <f t="shared" si="26"/>
        <v>0.40600000000000003</v>
      </c>
      <c r="J54" s="15">
        <f t="shared" si="26"/>
        <v>0.40600000000000003</v>
      </c>
      <c r="K54" s="15">
        <f t="shared" si="26"/>
        <v>0.40600000000000003</v>
      </c>
      <c r="L54" s="15">
        <f t="shared" si="26"/>
        <v>0.40600000000000003</v>
      </c>
      <c r="M54" s="15">
        <f t="shared" si="26"/>
        <v>0.40600000000000003</v>
      </c>
      <c r="N54" s="15">
        <f t="shared" si="26"/>
        <v>0.40600000000000003</v>
      </c>
      <c r="O54" s="15">
        <f t="shared" si="26"/>
        <v>0.40600000000000003</v>
      </c>
      <c r="P54" s="15">
        <f t="shared" si="26"/>
        <v>0.40600000000000003</v>
      </c>
      <c r="Q54" s="15">
        <f t="shared" si="26"/>
        <v>0.40600000000000003</v>
      </c>
      <c r="R54" s="15">
        <f t="shared" si="26"/>
        <v>0.40600000000000003</v>
      </c>
      <c r="S54" s="15">
        <f t="shared" si="26"/>
        <v>0.40600000000000003</v>
      </c>
      <c r="T54" s="15">
        <f t="shared" si="26"/>
        <v>0.40600000000000003</v>
      </c>
      <c r="U54" s="1"/>
      <c r="V54" s="1"/>
    </row>
    <row r="55" spans="1:22" ht="20" customHeight="1">
      <c r="A55" s="1"/>
      <c r="B55" s="1"/>
      <c r="C55" s="1" t="s">
        <v>179</v>
      </c>
      <c r="D55" s="1"/>
      <c r="E55" s="15">
        <f>Historical!G46</f>
        <v>0.58899999999999997</v>
      </c>
      <c r="F55" s="15">
        <f t="shared" ref="F55:T55" si="27">$E$55</f>
        <v>0.58899999999999997</v>
      </c>
      <c r="G55" s="15">
        <f t="shared" si="27"/>
        <v>0.58899999999999997</v>
      </c>
      <c r="H55" s="15">
        <f t="shared" si="27"/>
        <v>0.58899999999999997</v>
      </c>
      <c r="I55" s="15">
        <f t="shared" si="27"/>
        <v>0.58899999999999997</v>
      </c>
      <c r="J55" s="15">
        <f t="shared" si="27"/>
        <v>0.58899999999999997</v>
      </c>
      <c r="K55" s="15">
        <f t="shared" si="27"/>
        <v>0.58899999999999997</v>
      </c>
      <c r="L55" s="15">
        <f t="shared" si="27"/>
        <v>0.58899999999999997</v>
      </c>
      <c r="M55" s="15">
        <f t="shared" si="27"/>
        <v>0.58899999999999997</v>
      </c>
      <c r="N55" s="15">
        <f t="shared" si="27"/>
        <v>0.58899999999999997</v>
      </c>
      <c r="O55" s="15">
        <f t="shared" si="27"/>
        <v>0.58899999999999997</v>
      </c>
      <c r="P55" s="15">
        <f t="shared" si="27"/>
        <v>0.58899999999999997</v>
      </c>
      <c r="Q55" s="15">
        <f t="shared" si="27"/>
        <v>0.58899999999999997</v>
      </c>
      <c r="R55" s="15">
        <f t="shared" si="27"/>
        <v>0.58899999999999997</v>
      </c>
      <c r="S55" s="15">
        <f t="shared" si="27"/>
        <v>0.58899999999999997</v>
      </c>
      <c r="T55" s="15">
        <f t="shared" si="27"/>
        <v>0.58899999999999997</v>
      </c>
      <c r="U55" s="1"/>
      <c r="V55" s="1"/>
    </row>
    <row r="56" spans="1:22" ht="20" customHeight="1">
      <c r="A56" s="1"/>
      <c r="B56" s="1"/>
      <c r="C56" s="1" t="s">
        <v>180</v>
      </c>
      <c r="D56" s="1"/>
      <c r="E56" s="15">
        <f>Historical!G47</f>
        <v>1.623</v>
      </c>
      <c r="F56" s="15">
        <f t="shared" ref="F56:T56" si="28">E56-F39</f>
        <v>1.8879999999999999</v>
      </c>
      <c r="G56" s="15">
        <f t="shared" si="28"/>
        <v>1.8879999999999999</v>
      </c>
      <c r="H56" s="15">
        <f t="shared" si="28"/>
        <v>1.8879999999999999</v>
      </c>
      <c r="I56" s="15">
        <f t="shared" si="28"/>
        <v>1.8879999999999999</v>
      </c>
      <c r="J56" s="15">
        <f t="shared" si="28"/>
        <v>1.8879999999999999</v>
      </c>
      <c r="K56" s="15">
        <f t="shared" si="28"/>
        <v>1.8879999999999999</v>
      </c>
      <c r="L56" s="15">
        <f t="shared" si="28"/>
        <v>1.8879999999999999</v>
      </c>
      <c r="M56" s="15">
        <f t="shared" si="28"/>
        <v>1.8879999999999999</v>
      </c>
      <c r="N56" s="15">
        <f t="shared" si="28"/>
        <v>1.8879999999999999</v>
      </c>
      <c r="O56" s="15">
        <f t="shared" si="28"/>
        <v>1.8879999999999999</v>
      </c>
      <c r="P56" s="15">
        <f t="shared" si="28"/>
        <v>1.8879999999999999</v>
      </c>
      <c r="Q56" s="15">
        <f t="shared" si="28"/>
        <v>1.8879999999999999</v>
      </c>
      <c r="R56" s="15">
        <f t="shared" si="28"/>
        <v>1.8879999999999999</v>
      </c>
      <c r="S56" s="15">
        <f t="shared" si="28"/>
        <v>1.8879999999999999</v>
      </c>
      <c r="T56" s="15">
        <f t="shared" si="28"/>
        <v>1.8879999999999999</v>
      </c>
      <c r="U56" s="1"/>
      <c r="V56" s="1"/>
    </row>
    <row r="57" spans="1:22" ht="20" customHeight="1">
      <c r="A57" s="1"/>
      <c r="B57" s="1"/>
      <c r="C57" s="1" t="s">
        <v>181</v>
      </c>
      <c r="D57" s="1"/>
      <c r="E57" s="15">
        <f>Historical!G49</f>
        <v>0.42499999999999999</v>
      </c>
      <c r="F57" s="15">
        <f t="shared" ref="F57:T57" si="29">$E$57</f>
        <v>0.42499999999999999</v>
      </c>
      <c r="G57" s="15">
        <f t="shared" si="29"/>
        <v>0.42499999999999999</v>
      </c>
      <c r="H57" s="15">
        <f t="shared" si="29"/>
        <v>0.42499999999999999</v>
      </c>
      <c r="I57" s="15">
        <f t="shared" si="29"/>
        <v>0.42499999999999999</v>
      </c>
      <c r="J57" s="15">
        <f t="shared" si="29"/>
        <v>0.42499999999999999</v>
      </c>
      <c r="K57" s="15">
        <f t="shared" si="29"/>
        <v>0.42499999999999999</v>
      </c>
      <c r="L57" s="15">
        <f t="shared" si="29"/>
        <v>0.42499999999999999</v>
      </c>
      <c r="M57" s="15">
        <f t="shared" si="29"/>
        <v>0.42499999999999999</v>
      </c>
      <c r="N57" s="15">
        <f t="shared" si="29"/>
        <v>0.42499999999999999</v>
      </c>
      <c r="O57" s="15">
        <f t="shared" si="29"/>
        <v>0.42499999999999999</v>
      </c>
      <c r="P57" s="15">
        <f t="shared" si="29"/>
        <v>0.42499999999999999</v>
      </c>
      <c r="Q57" s="15">
        <f t="shared" si="29"/>
        <v>0.42499999999999999</v>
      </c>
      <c r="R57" s="15">
        <f t="shared" si="29"/>
        <v>0.42499999999999999</v>
      </c>
      <c r="S57" s="15">
        <f t="shared" si="29"/>
        <v>0.42499999999999999</v>
      </c>
      <c r="T57" s="15">
        <f t="shared" si="29"/>
        <v>0.42499999999999999</v>
      </c>
      <c r="U57" s="1"/>
      <c r="V57" s="1"/>
    </row>
    <row r="58" spans="1:22" ht="20" customHeight="1">
      <c r="A58" s="1"/>
      <c r="B58" s="1"/>
      <c r="C58" s="1" t="s">
        <v>182</v>
      </c>
      <c r="D58" s="1"/>
      <c r="E58" s="15">
        <f>Historical!G51</f>
        <v>0.246</v>
      </c>
      <c r="F58" s="15">
        <f t="shared" ref="F58:T58" si="30">$E$58</f>
        <v>0.246</v>
      </c>
      <c r="G58" s="15">
        <f t="shared" si="30"/>
        <v>0.246</v>
      </c>
      <c r="H58" s="15">
        <f t="shared" si="30"/>
        <v>0.246</v>
      </c>
      <c r="I58" s="15">
        <f t="shared" si="30"/>
        <v>0.246</v>
      </c>
      <c r="J58" s="15">
        <f t="shared" si="30"/>
        <v>0.246</v>
      </c>
      <c r="K58" s="15">
        <f t="shared" si="30"/>
        <v>0.246</v>
      </c>
      <c r="L58" s="15">
        <f t="shared" si="30"/>
        <v>0.246</v>
      </c>
      <c r="M58" s="15">
        <f t="shared" si="30"/>
        <v>0.246</v>
      </c>
      <c r="N58" s="15">
        <f t="shared" si="30"/>
        <v>0.246</v>
      </c>
      <c r="O58" s="15">
        <f t="shared" si="30"/>
        <v>0.246</v>
      </c>
      <c r="P58" s="15">
        <f t="shared" si="30"/>
        <v>0.246</v>
      </c>
      <c r="Q58" s="15">
        <f t="shared" si="30"/>
        <v>0.246</v>
      </c>
      <c r="R58" s="15">
        <f t="shared" si="30"/>
        <v>0.246</v>
      </c>
      <c r="S58" s="15">
        <f t="shared" si="30"/>
        <v>0.246</v>
      </c>
      <c r="T58" s="15">
        <f t="shared" si="30"/>
        <v>0.246</v>
      </c>
      <c r="U58" s="1"/>
      <c r="V58" s="1"/>
    </row>
    <row r="59" spans="1:22" ht="20" customHeight="1">
      <c r="A59" s="1"/>
      <c r="B59" s="1"/>
      <c r="C59" s="1" t="s">
        <v>183</v>
      </c>
      <c r="D59" s="1"/>
      <c r="E59" s="15">
        <f t="shared" ref="E59:T59" si="31">SUM(E50:E58)</f>
        <v>11.196000000000002</v>
      </c>
      <c r="F59" s="15">
        <f t="shared" si="31"/>
        <v>11.541259238670696</v>
      </c>
      <c r="G59" s="15">
        <f t="shared" si="31"/>
        <v>12.151532707432025</v>
      </c>
      <c r="H59" s="15">
        <f t="shared" si="31"/>
        <v>12.784461051359518</v>
      </c>
      <c r="I59" s="15">
        <f t="shared" si="31"/>
        <v>13.187790224773416</v>
      </c>
      <c r="J59" s="15">
        <f t="shared" si="31"/>
        <v>13.772574867371603</v>
      </c>
      <c r="K59" s="15">
        <f t="shared" si="31"/>
        <v>14.521457638368583</v>
      </c>
      <c r="L59" s="15">
        <f t="shared" si="31"/>
        <v>15.313205909365559</v>
      </c>
      <c r="M59" s="15">
        <f t="shared" si="31"/>
        <v>19.349735214501507</v>
      </c>
      <c r="N59" s="15">
        <f t="shared" si="31"/>
        <v>26.882324821752263</v>
      </c>
      <c r="O59" s="15">
        <f t="shared" si="31"/>
        <v>36.833926030211472</v>
      </c>
      <c r="P59" s="15">
        <f t="shared" si="31"/>
        <v>47.709481196374618</v>
      </c>
      <c r="Q59" s="15">
        <f t="shared" si="31"/>
        <v>59.511624761329294</v>
      </c>
      <c r="R59" s="15">
        <f t="shared" si="31"/>
        <v>72.60772832628399</v>
      </c>
      <c r="S59" s="15">
        <f t="shared" si="31"/>
        <v>86.997791891238663</v>
      </c>
      <c r="T59" s="15">
        <f t="shared" si="31"/>
        <v>102.68181545619335</v>
      </c>
      <c r="U59" s="1"/>
      <c r="V59" s="1"/>
    </row>
    <row r="60" spans="1:22" ht="20" customHeight="1">
      <c r="A60" s="1"/>
      <c r="B60" s="1"/>
      <c r="C60" s="1"/>
      <c r="D60" s="1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"/>
      <c r="V60" s="1"/>
    </row>
    <row r="61" spans="1:22" ht="20" customHeight="1">
      <c r="A61" s="1"/>
      <c r="B61" s="1"/>
      <c r="C61" s="1" t="s">
        <v>159</v>
      </c>
      <c r="D61" s="1"/>
      <c r="E61" s="15">
        <f t="shared" ref="E61:T61" si="32">E31</f>
        <v>1.8239999999999998</v>
      </c>
      <c r="F61" s="15">
        <f t="shared" si="32"/>
        <v>2.0278912386706938</v>
      </c>
      <c r="G61" s="15">
        <f t="shared" si="32"/>
        <v>2.3420233474320233</v>
      </c>
      <c r="H61" s="15">
        <f t="shared" si="32"/>
        <v>2.6410050513595156</v>
      </c>
      <c r="I61" s="15">
        <f t="shared" si="32"/>
        <v>2.6671178247734129</v>
      </c>
      <c r="J61" s="15">
        <f t="shared" si="32"/>
        <v>2.8489667673716004</v>
      </c>
      <c r="K61" s="15">
        <f t="shared" si="32"/>
        <v>3.1520483383685791</v>
      </c>
      <c r="L61" s="15">
        <f t="shared" si="32"/>
        <v>3.4551299093655579</v>
      </c>
      <c r="M61" s="15">
        <f t="shared" si="32"/>
        <v>4.4084592145015096</v>
      </c>
      <c r="N61" s="15">
        <f t="shared" si="32"/>
        <v>6.6126888217522639</v>
      </c>
      <c r="O61" s="15">
        <f t="shared" si="32"/>
        <v>9.1842900302114767</v>
      </c>
      <c r="P61" s="15">
        <f t="shared" si="32"/>
        <v>11.057885196374619</v>
      </c>
      <c r="Q61" s="15">
        <f t="shared" si="32"/>
        <v>12.564108761329301</v>
      </c>
      <c r="R61" s="15">
        <f t="shared" si="32"/>
        <v>14.070332326283982</v>
      </c>
      <c r="S61" s="15">
        <f t="shared" si="32"/>
        <v>15.576555891238664</v>
      </c>
      <c r="T61" s="15">
        <f t="shared" si="32"/>
        <v>17.082779456193347</v>
      </c>
      <c r="U61" s="1"/>
      <c r="V61" s="1"/>
    </row>
    <row r="62" spans="1:22" ht="20" customHeight="1">
      <c r="A62" s="1"/>
      <c r="B62" s="1"/>
      <c r="C62" s="1" t="s">
        <v>184</v>
      </c>
      <c r="D62" s="1"/>
      <c r="E62" s="15">
        <f>Historical!G55</f>
        <v>0.114</v>
      </c>
      <c r="F62" s="15">
        <f t="shared" ref="F62:T62" si="33">$E$62</f>
        <v>0.114</v>
      </c>
      <c r="G62" s="15">
        <f t="shared" si="33"/>
        <v>0.114</v>
      </c>
      <c r="H62" s="15">
        <f t="shared" si="33"/>
        <v>0.114</v>
      </c>
      <c r="I62" s="15">
        <f t="shared" si="33"/>
        <v>0.114</v>
      </c>
      <c r="J62" s="15">
        <f t="shared" si="33"/>
        <v>0.114</v>
      </c>
      <c r="K62" s="15">
        <f t="shared" si="33"/>
        <v>0.114</v>
      </c>
      <c r="L62" s="15">
        <f t="shared" si="33"/>
        <v>0.114</v>
      </c>
      <c r="M62" s="15">
        <f t="shared" si="33"/>
        <v>0.114</v>
      </c>
      <c r="N62" s="15">
        <f t="shared" si="33"/>
        <v>0.114</v>
      </c>
      <c r="O62" s="15">
        <f t="shared" si="33"/>
        <v>0.114</v>
      </c>
      <c r="P62" s="15">
        <f t="shared" si="33"/>
        <v>0.114</v>
      </c>
      <c r="Q62" s="15">
        <f t="shared" si="33"/>
        <v>0.114</v>
      </c>
      <c r="R62" s="15">
        <f t="shared" si="33"/>
        <v>0.114</v>
      </c>
      <c r="S62" s="15">
        <f t="shared" si="33"/>
        <v>0.114</v>
      </c>
      <c r="T62" s="15">
        <f t="shared" si="33"/>
        <v>0.114</v>
      </c>
      <c r="U62" s="1"/>
      <c r="V62" s="1"/>
    </row>
    <row r="63" spans="1:22" ht="20" customHeight="1">
      <c r="A63" s="1"/>
      <c r="B63" s="1"/>
      <c r="C63" s="1" t="s">
        <v>185</v>
      </c>
      <c r="D63" s="1"/>
      <c r="E63" s="15">
        <f>Historical!G60</f>
        <v>2.3E-2</v>
      </c>
      <c r="F63" s="15">
        <f t="shared" ref="F63:T63" si="34">$E$63</f>
        <v>2.3E-2</v>
      </c>
      <c r="G63" s="15">
        <f t="shared" si="34"/>
        <v>2.3E-2</v>
      </c>
      <c r="H63" s="15">
        <f t="shared" si="34"/>
        <v>2.3E-2</v>
      </c>
      <c r="I63" s="15">
        <f t="shared" si="34"/>
        <v>2.3E-2</v>
      </c>
      <c r="J63" s="15">
        <f t="shared" si="34"/>
        <v>2.3E-2</v>
      </c>
      <c r="K63" s="15">
        <f t="shared" si="34"/>
        <v>2.3E-2</v>
      </c>
      <c r="L63" s="15">
        <f t="shared" si="34"/>
        <v>2.3E-2</v>
      </c>
      <c r="M63" s="15">
        <f t="shared" si="34"/>
        <v>2.3E-2</v>
      </c>
      <c r="N63" s="15">
        <f t="shared" si="34"/>
        <v>2.3E-2</v>
      </c>
      <c r="O63" s="15">
        <f t="shared" si="34"/>
        <v>2.3E-2</v>
      </c>
      <c r="P63" s="15">
        <f t="shared" si="34"/>
        <v>2.3E-2</v>
      </c>
      <c r="Q63" s="15">
        <f t="shared" si="34"/>
        <v>2.3E-2</v>
      </c>
      <c r="R63" s="15">
        <f t="shared" si="34"/>
        <v>2.3E-2</v>
      </c>
      <c r="S63" s="15">
        <f t="shared" si="34"/>
        <v>2.3E-2</v>
      </c>
      <c r="T63" s="15">
        <f t="shared" si="34"/>
        <v>2.3E-2</v>
      </c>
      <c r="U63" s="1"/>
      <c r="V63" s="1"/>
    </row>
    <row r="64" spans="1:22" ht="20" customHeight="1">
      <c r="A64" s="1"/>
      <c r="B64" s="1"/>
      <c r="C64" s="1" t="s">
        <v>186</v>
      </c>
      <c r="D64" s="1"/>
      <c r="E64" s="15">
        <f>SUM(Historical!G57,Historical!G62)</f>
        <v>0.46399999999999997</v>
      </c>
      <c r="F64" s="15">
        <f t="shared" ref="F64:T64" si="35">$E$64</f>
        <v>0.46399999999999997</v>
      </c>
      <c r="G64" s="15">
        <f t="shared" si="35"/>
        <v>0.46399999999999997</v>
      </c>
      <c r="H64" s="15">
        <f t="shared" si="35"/>
        <v>0.46399999999999997</v>
      </c>
      <c r="I64" s="15">
        <f t="shared" si="35"/>
        <v>0.46399999999999997</v>
      </c>
      <c r="J64" s="15">
        <f t="shared" si="35"/>
        <v>0.46399999999999997</v>
      </c>
      <c r="K64" s="15">
        <f t="shared" si="35"/>
        <v>0.46399999999999997</v>
      </c>
      <c r="L64" s="15">
        <f t="shared" si="35"/>
        <v>0.46399999999999997</v>
      </c>
      <c r="M64" s="15">
        <f t="shared" si="35"/>
        <v>0.46399999999999997</v>
      </c>
      <c r="N64" s="15">
        <f t="shared" si="35"/>
        <v>0.46399999999999997</v>
      </c>
      <c r="O64" s="15">
        <f t="shared" si="35"/>
        <v>0.46399999999999997</v>
      </c>
      <c r="P64" s="15">
        <f t="shared" si="35"/>
        <v>0.46399999999999997</v>
      </c>
      <c r="Q64" s="15">
        <f t="shared" si="35"/>
        <v>0.46399999999999997</v>
      </c>
      <c r="R64" s="15">
        <f t="shared" si="35"/>
        <v>0.46399999999999997</v>
      </c>
      <c r="S64" s="15">
        <f t="shared" si="35"/>
        <v>0.46399999999999997</v>
      </c>
      <c r="T64" s="15">
        <f t="shared" si="35"/>
        <v>0.46399999999999997</v>
      </c>
      <c r="U64" s="1"/>
      <c r="V64" s="1"/>
    </row>
    <row r="65" spans="1:22" ht="20" customHeight="1">
      <c r="A65" s="1"/>
      <c r="B65" s="1"/>
      <c r="C65" s="1" t="s">
        <v>187</v>
      </c>
      <c r="D65" s="1"/>
      <c r="E65" s="15">
        <f>Historical!G63</f>
        <v>0.14099999999999999</v>
      </c>
      <c r="F65" s="15">
        <f t="shared" ref="F65:T65" si="36">$E$65</f>
        <v>0.14099999999999999</v>
      </c>
      <c r="G65" s="15">
        <f t="shared" si="36"/>
        <v>0.14099999999999999</v>
      </c>
      <c r="H65" s="15">
        <f t="shared" si="36"/>
        <v>0.14099999999999999</v>
      </c>
      <c r="I65" s="15">
        <f t="shared" si="36"/>
        <v>0.14099999999999999</v>
      </c>
      <c r="J65" s="15">
        <f t="shared" si="36"/>
        <v>0.14099999999999999</v>
      </c>
      <c r="K65" s="15">
        <f t="shared" si="36"/>
        <v>0.14099999999999999</v>
      </c>
      <c r="L65" s="15">
        <f t="shared" si="36"/>
        <v>0.14099999999999999</v>
      </c>
      <c r="M65" s="15">
        <f t="shared" si="36"/>
        <v>0.14099999999999999</v>
      </c>
      <c r="N65" s="15">
        <f t="shared" si="36"/>
        <v>0.14099999999999999</v>
      </c>
      <c r="O65" s="15">
        <f t="shared" si="36"/>
        <v>0.14099999999999999</v>
      </c>
      <c r="P65" s="15">
        <f t="shared" si="36"/>
        <v>0.14099999999999999</v>
      </c>
      <c r="Q65" s="15">
        <f t="shared" si="36"/>
        <v>0.14099999999999999</v>
      </c>
      <c r="R65" s="15">
        <f t="shared" si="36"/>
        <v>0.14099999999999999</v>
      </c>
      <c r="S65" s="15">
        <f t="shared" si="36"/>
        <v>0.14099999999999999</v>
      </c>
      <c r="T65" s="15">
        <f t="shared" si="36"/>
        <v>0.14099999999999999</v>
      </c>
      <c r="U65" s="1"/>
      <c r="V65" s="1"/>
    </row>
    <row r="66" spans="1:22" ht="20" customHeight="1">
      <c r="A66" s="1"/>
      <c r="B66" s="1"/>
      <c r="C66" s="1" t="s">
        <v>188</v>
      </c>
      <c r="D66" s="1"/>
      <c r="E66" s="15">
        <f t="shared" ref="E66:T66" si="37">SUM(E61:E65)</f>
        <v>2.5659999999999998</v>
      </c>
      <c r="F66" s="15">
        <f t="shared" si="37"/>
        <v>2.7698912386706938</v>
      </c>
      <c r="G66" s="15">
        <f t="shared" si="37"/>
        <v>3.0840233474320233</v>
      </c>
      <c r="H66" s="15">
        <f t="shared" si="37"/>
        <v>3.3830050513595156</v>
      </c>
      <c r="I66" s="15">
        <f t="shared" si="37"/>
        <v>3.4091178247734129</v>
      </c>
      <c r="J66" s="15">
        <f t="shared" si="37"/>
        <v>3.5909667673716004</v>
      </c>
      <c r="K66" s="15">
        <f t="shared" si="37"/>
        <v>3.8940483383685791</v>
      </c>
      <c r="L66" s="15">
        <f t="shared" si="37"/>
        <v>4.1971299093655574</v>
      </c>
      <c r="M66" s="15">
        <f t="shared" si="37"/>
        <v>5.1504592145015096</v>
      </c>
      <c r="N66" s="15">
        <f t="shared" si="37"/>
        <v>7.3546888217522639</v>
      </c>
      <c r="O66" s="15">
        <f t="shared" si="37"/>
        <v>9.9262900302114776</v>
      </c>
      <c r="P66" s="15">
        <f t="shared" si="37"/>
        <v>11.799885196374619</v>
      </c>
      <c r="Q66" s="15">
        <f t="shared" si="37"/>
        <v>13.306108761329302</v>
      </c>
      <c r="R66" s="15">
        <f t="shared" si="37"/>
        <v>14.812332326283983</v>
      </c>
      <c r="S66" s="15">
        <f t="shared" si="37"/>
        <v>16.318555891238663</v>
      </c>
      <c r="T66" s="15">
        <f t="shared" si="37"/>
        <v>17.824779456193344</v>
      </c>
      <c r="U66" s="1"/>
      <c r="V66" s="1"/>
    </row>
    <row r="67" spans="1:22" ht="20" customHeight="1">
      <c r="A67" s="1"/>
      <c r="B67" s="1"/>
      <c r="C67" s="1"/>
      <c r="D67" s="1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"/>
      <c r="V67" s="1"/>
    </row>
    <row r="68" spans="1:22" ht="20" customHeight="1">
      <c r="A68" s="1"/>
      <c r="B68" s="1"/>
      <c r="C68" s="1" t="s">
        <v>189</v>
      </c>
      <c r="D68" s="1"/>
      <c r="E68" s="15">
        <f>SUM(Historical!G66:G67)</f>
        <v>3.5399999999999996</v>
      </c>
      <c r="F68" s="15">
        <f t="shared" ref="F68:T68" si="38">E68+F26+F42</f>
        <v>3.5399999999999996</v>
      </c>
      <c r="G68" s="15">
        <f t="shared" si="38"/>
        <v>3.5399999999999996</v>
      </c>
      <c r="H68" s="15">
        <f t="shared" si="38"/>
        <v>3.5399999999999996</v>
      </c>
      <c r="I68" s="15">
        <f t="shared" si="38"/>
        <v>3.5399999999999996</v>
      </c>
      <c r="J68" s="15">
        <f t="shared" si="38"/>
        <v>3.5399999999999996</v>
      </c>
      <c r="K68" s="15">
        <f t="shared" si="38"/>
        <v>3.5399999999999996</v>
      </c>
      <c r="L68" s="15">
        <f t="shared" si="38"/>
        <v>3.5399999999999996</v>
      </c>
      <c r="M68" s="15">
        <f t="shared" si="38"/>
        <v>3.54</v>
      </c>
      <c r="N68" s="15">
        <f t="shared" si="38"/>
        <v>3.54</v>
      </c>
      <c r="O68" s="15">
        <f t="shared" si="38"/>
        <v>3.54</v>
      </c>
      <c r="P68" s="15">
        <f t="shared" si="38"/>
        <v>3.5400000000000005</v>
      </c>
      <c r="Q68" s="15">
        <f t="shared" si="38"/>
        <v>3.5400000000000009</v>
      </c>
      <c r="R68" s="15">
        <f t="shared" si="38"/>
        <v>3.5400000000000009</v>
      </c>
      <c r="S68" s="15">
        <f t="shared" si="38"/>
        <v>3.5400000000000014</v>
      </c>
      <c r="T68" s="15">
        <f t="shared" si="38"/>
        <v>3.5400000000000018</v>
      </c>
      <c r="U68" s="1"/>
      <c r="V68" s="1"/>
    </row>
    <row r="69" spans="1:22" ht="20" customHeight="1">
      <c r="A69" s="1"/>
      <c r="B69" s="1"/>
      <c r="C69" s="1" t="s">
        <v>190</v>
      </c>
      <c r="D69" s="1"/>
      <c r="E69" s="15">
        <f>Historical!G68</f>
        <v>0.373</v>
      </c>
      <c r="F69" s="15">
        <f t="shared" ref="F69:T69" si="39">$E$69</f>
        <v>0.373</v>
      </c>
      <c r="G69" s="15">
        <f t="shared" si="39"/>
        <v>0.373</v>
      </c>
      <c r="H69" s="15">
        <f t="shared" si="39"/>
        <v>0.373</v>
      </c>
      <c r="I69" s="15">
        <f t="shared" si="39"/>
        <v>0.373</v>
      </c>
      <c r="J69" s="15">
        <f t="shared" si="39"/>
        <v>0.373</v>
      </c>
      <c r="K69" s="15">
        <f t="shared" si="39"/>
        <v>0.373</v>
      </c>
      <c r="L69" s="15">
        <f t="shared" si="39"/>
        <v>0.373</v>
      </c>
      <c r="M69" s="15">
        <f t="shared" si="39"/>
        <v>0.373</v>
      </c>
      <c r="N69" s="15">
        <f t="shared" si="39"/>
        <v>0.373</v>
      </c>
      <c r="O69" s="15">
        <f t="shared" si="39"/>
        <v>0.373</v>
      </c>
      <c r="P69" s="15">
        <f t="shared" si="39"/>
        <v>0.373</v>
      </c>
      <c r="Q69" s="15">
        <f t="shared" si="39"/>
        <v>0.373</v>
      </c>
      <c r="R69" s="15">
        <f t="shared" si="39"/>
        <v>0.373</v>
      </c>
      <c r="S69" s="15">
        <f t="shared" si="39"/>
        <v>0.373</v>
      </c>
      <c r="T69" s="15">
        <f t="shared" si="39"/>
        <v>0.373</v>
      </c>
      <c r="U69" s="1"/>
      <c r="V69" s="1"/>
    </row>
    <row r="70" spans="1:22" ht="20" customHeight="1">
      <c r="A70" s="1"/>
      <c r="B70" s="1"/>
      <c r="C70" s="1" t="s">
        <v>191</v>
      </c>
      <c r="D70" s="1"/>
      <c r="E70" s="15">
        <f>Historical!G69</f>
        <v>4.7169999999999996</v>
      </c>
      <c r="F70" s="15">
        <f t="shared" ref="F70:T70" si="40">E70+F21+F43</f>
        <v>4.8583679999999996</v>
      </c>
      <c r="G70" s="15">
        <f t="shared" si="40"/>
        <v>5.1545093599999996</v>
      </c>
      <c r="H70" s="15">
        <f t="shared" si="40"/>
        <v>5.4884560000000002</v>
      </c>
      <c r="I70" s="15">
        <f t="shared" si="40"/>
        <v>5.8656724000000002</v>
      </c>
      <c r="J70" s="15">
        <f t="shared" si="40"/>
        <v>6.2686080999999998</v>
      </c>
      <c r="K70" s="15">
        <f t="shared" si="40"/>
        <v>6.7144092999999998</v>
      </c>
      <c r="L70" s="15">
        <f t="shared" si="40"/>
        <v>7.2030760000000003</v>
      </c>
      <c r="M70" s="15">
        <f t="shared" si="40"/>
        <v>10.286276000000001</v>
      </c>
      <c r="N70" s="15">
        <f t="shared" si="40"/>
        <v>15.614636000000001</v>
      </c>
      <c r="O70" s="15">
        <f t="shared" si="40"/>
        <v>22.994636</v>
      </c>
      <c r="P70" s="15">
        <f t="shared" si="40"/>
        <v>31.996596</v>
      </c>
      <c r="Q70" s="15">
        <f t="shared" si="40"/>
        <v>42.292515999999999</v>
      </c>
      <c r="R70" s="15">
        <f t="shared" si="40"/>
        <v>53.882396</v>
      </c>
      <c r="S70" s="15">
        <f t="shared" si="40"/>
        <v>66.766236000000006</v>
      </c>
      <c r="T70" s="15">
        <f t="shared" si="40"/>
        <v>80.944036000000011</v>
      </c>
      <c r="U70" s="1"/>
      <c r="V70" s="1"/>
    </row>
    <row r="71" spans="1:22" ht="20" customHeight="1">
      <c r="A71" s="1"/>
      <c r="B71" s="1"/>
      <c r="C71" s="1" t="s">
        <v>192</v>
      </c>
      <c r="D71" s="1"/>
      <c r="E71" s="15">
        <f t="shared" ref="E71:T71" si="41">SUM(E68:E70)</f>
        <v>8.629999999999999</v>
      </c>
      <c r="F71" s="15">
        <f t="shared" si="41"/>
        <v>8.7713679999999989</v>
      </c>
      <c r="G71" s="15">
        <f t="shared" si="41"/>
        <v>9.067509359999999</v>
      </c>
      <c r="H71" s="15">
        <f t="shared" si="41"/>
        <v>9.4014559999999996</v>
      </c>
      <c r="I71" s="15">
        <f t="shared" si="41"/>
        <v>9.7786723999999996</v>
      </c>
      <c r="J71" s="15">
        <f t="shared" si="41"/>
        <v>10.181608099999998</v>
      </c>
      <c r="K71" s="15">
        <f t="shared" si="41"/>
        <v>10.6274093</v>
      </c>
      <c r="L71" s="15">
        <f t="shared" si="41"/>
        <v>11.116076</v>
      </c>
      <c r="M71" s="15">
        <f t="shared" si="41"/>
        <v>14.199276000000001</v>
      </c>
      <c r="N71" s="15">
        <f t="shared" si="41"/>
        <v>19.527636000000001</v>
      </c>
      <c r="O71" s="15">
        <f t="shared" si="41"/>
        <v>26.907636</v>
      </c>
      <c r="P71" s="15">
        <f t="shared" si="41"/>
        <v>35.909596000000001</v>
      </c>
      <c r="Q71" s="15">
        <f t="shared" si="41"/>
        <v>46.205516000000003</v>
      </c>
      <c r="R71" s="15">
        <f t="shared" si="41"/>
        <v>57.795396000000004</v>
      </c>
      <c r="S71" s="15">
        <f t="shared" si="41"/>
        <v>70.679236000000003</v>
      </c>
      <c r="T71" s="15">
        <f t="shared" si="41"/>
        <v>84.857036000000008</v>
      </c>
      <c r="U71" s="1"/>
      <c r="V71" s="1"/>
    </row>
    <row r="72" spans="1:22" ht="20" customHeight="1">
      <c r="A72" s="1"/>
      <c r="B72" s="1"/>
      <c r="C72" s="1" t="s">
        <v>193</v>
      </c>
      <c r="D72" s="1"/>
      <c r="E72" s="15">
        <f t="shared" ref="E72:T72" si="42">SUM(E66,E71)</f>
        <v>11.195999999999998</v>
      </c>
      <c r="F72" s="15">
        <f t="shared" si="42"/>
        <v>11.541259238670692</v>
      </c>
      <c r="G72" s="15">
        <f t="shared" si="42"/>
        <v>12.151532707432022</v>
      </c>
      <c r="H72" s="15">
        <f t="shared" si="42"/>
        <v>12.784461051359514</v>
      </c>
      <c r="I72" s="15">
        <f t="shared" si="42"/>
        <v>13.187790224773412</v>
      </c>
      <c r="J72" s="15">
        <f t="shared" si="42"/>
        <v>13.772574867371599</v>
      </c>
      <c r="K72" s="15">
        <f t="shared" si="42"/>
        <v>14.521457638368579</v>
      </c>
      <c r="L72" s="15">
        <f t="shared" si="42"/>
        <v>15.313205909365557</v>
      </c>
      <c r="M72" s="15">
        <f t="shared" si="42"/>
        <v>19.349735214501511</v>
      </c>
      <c r="N72" s="15">
        <f t="shared" si="42"/>
        <v>26.882324821752263</v>
      </c>
      <c r="O72" s="15">
        <f t="shared" si="42"/>
        <v>36.833926030211479</v>
      </c>
      <c r="P72" s="15">
        <f t="shared" si="42"/>
        <v>47.709481196374618</v>
      </c>
      <c r="Q72" s="15">
        <f t="shared" si="42"/>
        <v>59.511624761329301</v>
      </c>
      <c r="R72" s="15">
        <f t="shared" si="42"/>
        <v>72.60772832628399</v>
      </c>
      <c r="S72" s="15">
        <f t="shared" si="42"/>
        <v>86.997791891238663</v>
      </c>
      <c r="T72" s="15">
        <f t="shared" si="42"/>
        <v>102.68181545619335</v>
      </c>
      <c r="U72" s="1"/>
      <c r="V72" s="1"/>
    </row>
    <row r="73" spans="1:22" ht="20" customHeight="1">
      <c r="A73" s="1"/>
      <c r="B73" s="1"/>
      <c r="C73" s="1"/>
      <c r="D73" s="1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"/>
      <c r="V73" s="1"/>
    </row>
    <row r="74" spans="1:22" ht="20" customHeight="1">
      <c r="A74" s="1"/>
      <c r="B74" s="1"/>
      <c r="C74" s="1" t="s">
        <v>194</v>
      </c>
      <c r="D74" s="1"/>
      <c r="E74" s="15"/>
      <c r="F74" s="15">
        <f>F17*(1-Assumptions!$E$36)+F25-F27-F35</f>
        <v>-2.4831999999999799E-2</v>
      </c>
      <c r="G74" s="15">
        <f>G17*(1-Assumptions!$E$36)+G25-G27-G35</f>
        <v>6.1374560000000189E-2</v>
      </c>
      <c r="H74" s="15">
        <f>H17*(1-Assumptions!$E$36)+H25-H27-H35</f>
        <v>9.9289440000000062E-2</v>
      </c>
      <c r="I74" s="15">
        <f>I17*(1-Assumptions!$E$36)+I25-I27-I35</f>
        <v>0.29040040000000034</v>
      </c>
      <c r="J74" s="15">
        <f>J17*(1-Assumptions!$E$36)+J25-J27-J35</f>
        <v>0.2263856999999998</v>
      </c>
      <c r="K74" s="15">
        <f>K17*(1-Assumptions!$E$36)+K25-K27-K35</f>
        <v>0.1950012000000001</v>
      </c>
      <c r="L74" s="15">
        <f>L17*(1-Assumptions!$E$36)+L25-L27-L35</f>
        <v>0.22961670000000001</v>
      </c>
      <c r="M74" s="15">
        <f>M17*(1-Assumptions!$E$36)+M25-M27-M35</f>
        <v>2.0842000000000001</v>
      </c>
      <c r="N74" s="15">
        <f>N17*(1-Assumptions!$E$36)+N25-N27-N35</f>
        <v>3.4083599999999996</v>
      </c>
      <c r="O74" s="15">
        <f>O17*(1-Assumptions!$E$36)+O25-O27-O35</f>
        <v>4.9800000000000004</v>
      </c>
      <c r="P74" s="15">
        <f>P17*(1-Assumptions!$E$36)+P25-P27-P35</f>
        <v>6.7779600000000002</v>
      </c>
      <c r="Q74" s="15">
        <f>Q17*(1-Assumptions!$E$36)+Q25-Q27-Q35</f>
        <v>8.10792</v>
      </c>
      <c r="R74" s="15">
        <f>R17*(1-Assumptions!$E$36)+R25-R27-R35</f>
        <v>9.2378800000000005</v>
      </c>
      <c r="S74" s="15">
        <f>S17*(1-Assumptions!$E$36)+S25-S27-S35</f>
        <v>10.367840000000003</v>
      </c>
      <c r="T74" s="15">
        <f>T17*(1-Assumptions!$E$36)+T25-T27-T35</f>
        <v>11.4978</v>
      </c>
      <c r="U74" s="1"/>
      <c r="V74" s="1"/>
    </row>
    <row r="75" spans="1:22" ht="20" customHeight="1">
      <c r="A75" s="1"/>
      <c r="B75" s="1"/>
      <c r="C75" s="1" t="s">
        <v>195</v>
      </c>
      <c r="D75" s="1"/>
      <c r="E75" s="16">
        <f t="shared" ref="E75:T75" si="43">E32/(E9/E8)</f>
        <v>0.19259115593483328</v>
      </c>
      <c r="F75" s="16">
        <f t="shared" si="43"/>
        <v>0.19999999999999998</v>
      </c>
      <c r="G75" s="16">
        <f t="shared" si="43"/>
        <v>0.2</v>
      </c>
      <c r="H75" s="16">
        <f t="shared" si="43"/>
        <v>0.2</v>
      </c>
      <c r="I75" s="16">
        <f t="shared" si="43"/>
        <v>0.2</v>
      </c>
      <c r="J75" s="16">
        <f t="shared" si="43"/>
        <v>0.2</v>
      </c>
      <c r="K75" s="16">
        <f t="shared" si="43"/>
        <v>0.2</v>
      </c>
      <c r="L75" s="16">
        <f t="shared" si="43"/>
        <v>0.2</v>
      </c>
      <c r="M75" s="16">
        <f t="shared" si="43"/>
        <v>0.20000000000000004</v>
      </c>
      <c r="N75" s="16">
        <f t="shared" si="43"/>
        <v>0.2</v>
      </c>
      <c r="O75" s="16">
        <f t="shared" si="43"/>
        <v>0.2</v>
      </c>
      <c r="P75" s="16">
        <f t="shared" si="43"/>
        <v>0.2</v>
      </c>
      <c r="Q75" s="16">
        <f t="shared" si="43"/>
        <v>0.2</v>
      </c>
      <c r="R75" s="16">
        <f t="shared" si="43"/>
        <v>0.2</v>
      </c>
      <c r="S75" s="16">
        <f t="shared" si="43"/>
        <v>0.2</v>
      </c>
      <c r="T75" s="16">
        <f t="shared" si="43"/>
        <v>0.2</v>
      </c>
      <c r="U75" s="1"/>
      <c r="V75" s="1"/>
    </row>
    <row r="76" spans="1:22" ht="20" customHeight="1">
      <c r="A76" s="1"/>
      <c r="B76" s="1"/>
      <c r="C76" s="1" t="s">
        <v>196</v>
      </c>
      <c r="D76" s="1"/>
      <c r="E76" s="15">
        <f t="shared" ref="E76:T76" si="44">E59-E72</f>
        <v>0</v>
      </c>
      <c r="F76" s="15">
        <f t="shared" si="44"/>
        <v>0</v>
      </c>
      <c r="G76" s="15">
        <f t="shared" si="44"/>
        <v>0</v>
      </c>
      <c r="H76" s="15">
        <f t="shared" si="44"/>
        <v>0</v>
      </c>
      <c r="I76" s="15">
        <f t="shared" si="44"/>
        <v>0</v>
      </c>
      <c r="J76" s="15">
        <f t="shared" si="44"/>
        <v>0</v>
      </c>
      <c r="K76" s="15">
        <f t="shared" si="44"/>
        <v>0</v>
      </c>
      <c r="L76" s="15">
        <f t="shared" si="44"/>
        <v>0</v>
      </c>
      <c r="M76" s="15">
        <f t="shared" si="44"/>
        <v>0</v>
      </c>
      <c r="N76" s="15">
        <f t="shared" si="44"/>
        <v>0</v>
      </c>
      <c r="O76" s="15">
        <f t="shared" si="44"/>
        <v>0</v>
      </c>
      <c r="P76" s="15">
        <f t="shared" si="44"/>
        <v>0</v>
      </c>
      <c r="Q76" s="15">
        <f t="shared" si="44"/>
        <v>0</v>
      </c>
      <c r="R76" s="15">
        <f t="shared" si="44"/>
        <v>0</v>
      </c>
      <c r="S76" s="15">
        <f t="shared" si="44"/>
        <v>0</v>
      </c>
      <c r="T76" s="15">
        <f t="shared" si="44"/>
        <v>0</v>
      </c>
      <c r="U76" s="1"/>
      <c r="V76" s="1"/>
    </row>
    <row r="77" spans="1:22" ht="20" customHeight="1">
      <c r="A77" s="1"/>
      <c r="B77" s="1"/>
      <c r="C77" s="1" t="s">
        <v>197</v>
      </c>
      <c r="D77" s="1"/>
      <c r="E77" s="15"/>
      <c r="F77" s="15">
        <f t="shared" ref="F77:T77" si="45">F74-(F37-F27-F26)</f>
        <v>2.2204460492503131E-16</v>
      </c>
      <c r="G77" s="15">
        <f t="shared" si="45"/>
        <v>-1.6653345369377348E-16</v>
      </c>
      <c r="H77" s="15">
        <f t="shared" si="45"/>
        <v>3.8857805861880479E-16</v>
      </c>
      <c r="I77" s="15">
        <f t="shared" si="45"/>
        <v>0</v>
      </c>
      <c r="J77" s="15">
        <f t="shared" si="45"/>
        <v>0</v>
      </c>
      <c r="K77" s="15">
        <f t="shared" si="45"/>
        <v>-3.8857805861880479E-16</v>
      </c>
      <c r="L77" s="15">
        <f t="shared" si="45"/>
        <v>4.9960036108132044E-16</v>
      </c>
      <c r="M77" s="15">
        <f t="shared" si="45"/>
        <v>0</v>
      </c>
      <c r="N77" s="15">
        <f t="shared" si="45"/>
        <v>0</v>
      </c>
      <c r="O77" s="15">
        <f t="shared" si="45"/>
        <v>0</v>
      </c>
      <c r="P77" s="15">
        <f t="shared" si="45"/>
        <v>0</v>
      </c>
      <c r="Q77" s="15">
        <f t="shared" si="45"/>
        <v>0</v>
      </c>
      <c r="R77" s="15">
        <f t="shared" si="45"/>
        <v>0</v>
      </c>
      <c r="S77" s="15">
        <f t="shared" si="45"/>
        <v>0</v>
      </c>
      <c r="T77" s="15">
        <f t="shared" si="45"/>
        <v>0</v>
      </c>
      <c r="U77" s="1"/>
      <c r="V77" s="1"/>
    </row>
    <row r="78" spans="1:22" ht="20" customHeight="1">
      <c r="A78" s="1"/>
      <c r="B78" s="1"/>
      <c r="C78" s="1"/>
      <c r="D78" s="1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"/>
      <c r="V78" s="1"/>
    </row>
    <row r="79" spans="1:22" ht="20" customHeight="1">
      <c r="A79" s="1"/>
      <c r="B79" s="1"/>
      <c r="C79" s="1"/>
      <c r="D79" s="1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"/>
      <c r="V79" s="1"/>
    </row>
    <row r="80" spans="1:22" ht="21" customHeight="1">
      <c r="A80" s="1"/>
      <c r="B80" s="1"/>
      <c r="C80" s="1" t="s">
        <v>198</v>
      </c>
      <c r="D80" s="1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"/>
      <c r="V80" s="1"/>
    </row>
    <row r="81" spans="1:22" ht="21" customHeight="1">
      <c r="A81" s="1"/>
      <c r="B81" s="1"/>
      <c r="C81" s="1" t="s">
        <v>199</v>
      </c>
      <c r="D81" s="1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"/>
      <c r="V81" s="1"/>
    </row>
    <row r="82" spans="1:22" ht="21" customHeight="1">
      <c r="A82" s="1"/>
      <c r="B82" s="1"/>
      <c r="C82" s="1" t="s">
        <v>200</v>
      </c>
      <c r="D82" s="1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"/>
      <c r="V82" s="1"/>
    </row>
    <row r="83" spans="1:22" ht="21" customHeight="1">
      <c r="A83" s="1"/>
      <c r="B83" s="1"/>
      <c r="C83" s="1" t="s">
        <v>201</v>
      </c>
      <c r="D83" s="1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"/>
      <c r="V83" s="1"/>
    </row>
    <row r="84" spans="1:22" ht="21" customHeight="1">
      <c r="A84" s="1"/>
      <c r="B84" s="1"/>
      <c r="C84" s="1" t="s">
        <v>202</v>
      </c>
      <c r="D84" s="1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"/>
      <c r="V84" s="1"/>
    </row>
    <row r="85" spans="1:22" ht="21" customHeight="1">
      <c r="A85" s="1"/>
      <c r="B85" s="1"/>
      <c r="C85" s="1" t="s">
        <v>203</v>
      </c>
      <c r="D85" s="1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"/>
      <c r="V85" s="1"/>
    </row>
    <row r="86" spans="1:22" ht="21" customHeight="1">
      <c r="A86" s="1"/>
      <c r="B86" s="1"/>
      <c r="C86" s="1" t="s">
        <v>204</v>
      </c>
      <c r="D86" s="1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"/>
      <c r="V86" s="1"/>
    </row>
    <row r="87" spans="1:22" ht="21" customHeight="1">
      <c r="A87" s="1"/>
      <c r="B87" s="1"/>
      <c r="C87" s="1" t="s">
        <v>205</v>
      </c>
      <c r="D87" s="1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"/>
      <c r="V87" s="1"/>
    </row>
    <row r="88" spans="1:22" ht="20" customHeight="1">
      <c r="A88" s="1"/>
      <c r="B88" s="1"/>
      <c r="C88" s="1"/>
      <c r="D88" s="1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"/>
      <c r="V88" s="1"/>
    </row>
    <row r="89" spans="1:22" ht="20" customHeight="1">
      <c r="A89" s="1"/>
      <c r="B89" s="1"/>
      <c r="C89" s="1"/>
      <c r="D89" s="1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"/>
      <c r="V89" s="1"/>
    </row>
    <row r="90" spans="1:22" ht="20" customHeight="1">
      <c r="A90" s="1"/>
      <c r="B90" s="1"/>
      <c r="C90" s="7" t="s">
        <v>206</v>
      </c>
      <c r="D90" s="7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5"/>
      <c r="P90" s="15"/>
      <c r="Q90" s="15"/>
      <c r="R90" s="15"/>
      <c r="S90" s="15"/>
      <c r="T90" s="15"/>
      <c r="U90" s="1"/>
      <c r="V90" s="1"/>
    </row>
    <row r="91" spans="1:22" ht="20" customHeight="1">
      <c r="A91" s="1"/>
      <c r="B91" s="1"/>
      <c r="C91" s="1"/>
      <c r="D91" s="1"/>
      <c r="E91" s="14" t="s">
        <v>19</v>
      </c>
      <c r="F91" s="14" t="s">
        <v>20</v>
      </c>
      <c r="G91" s="14" t="s">
        <v>21</v>
      </c>
      <c r="H91" s="14" t="s">
        <v>22</v>
      </c>
      <c r="I91" s="14" t="s">
        <v>23</v>
      </c>
      <c r="J91" s="14" t="s">
        <v>24</v>
      </c>
      <c r="K91" s="14" t="s">
        <v>25</v>
      </c>
      <c r="L91" s="14" t="s">
        <v>26</v>
      </c>
      <c r="M91" s="14" t="s">
        <v>27</v>
      </c>
      <c r="N91" s="14" t="s">
        <v>28</v>
      </c>
      <c r="O91" s="15"/>
      <c r="P91" s="15"/>
      <c r="Q91" s="15"/>
      <c r="R91" s="15"/>
      <c r="S91" s="15"/>
      <c r="T91" s="15"/>
      <c r="U91" s="1"/>
      <c r="V91" s="1"/>
    </row>
    <row r="92" spans="1:22" ht="20" customHeight="1">
      <c r="A92" s="1"/>
      <c r="B92" s="1"/>
      <c r="C92" s="1"/>
      <c r="D92" s="1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"/>
      <c r="V92" s="1"/>
    </row>
    <row r="93" spans="1:22" ht="20" customHeight="1">
      <c r="A93" s="1"/>
      <c r="B93" s="1"/>
      <c r="C93" s="1" t="s">
        <v>29</v>
      </c>
      <c r="D93" s="1"/>
      <c r="E93" s="15">
        <f>SUM(E9:H9)</f>
        <v>6.06</v>
      </c>
      <c r="F93" s="15">
        <f>SUM(I9:L9)</f>
        <v>8.25</v>
      </c>
      <c r="G93" s="15">
        <f t="shared" ref="G93:N93" si="46">SUM(M9:M9)</f>
        <v>12</v>
      </c>
      <c r="H93" s="15">
        <f t="shared" si="46"/>
        <v>18</v>
      </c>
      <c r="I93" s="15">
        <f t="shared" si="46"/>
        <v>25</v>
      </c>
      <c r="J93" s="15">
        <f t="shared" si="46"/>
        <v>30.1</v>
      </c>
      <c r="K93" s="15">
        <f t="shared" si="46"/>
        <v>34.200000000000003</v>
      </c>
      <c r="L93" s="15">
        <f t="shared" si="46"/>
        <v>38.299999999999997</v>
      </c>
      <c r="M93" s="15">
        <f t="shared" si="46"/>
        <v>42.4</v>
      </c>
      <c r="N93" s="15">
        <f t="shared" si="46"/>
        <v>46.5</v>
      </c>
      <c r="O93" s="15"/>
      <c r="P93" s="15"/>
      <c r="Q93" s="15"/>
      <c r="R93" s="15"/>
      <c r="S93" s="15"/>
      <c r="T93" s="15"/>
      <c r="U93" s="1"/>
      <c r="V93" s="1"/>
    </row>
    <row r="94" spans="1:22" ht="20" customHeight="1">
      <c r="A94" s="1"/>
      <c r="B94" s="1"/>
      <c r="C94" s="1" t="s">
        <v>142</v>
      </c>
      <c r="D94" s="1"/>
      <c r="E94" s="15">
        <f>SUM(E11:H11)</f>
        <v>5.7948000000000004</v>
      </c>
      <c r="F94" s="15">
        <f>SUM(I11:L11)</f>
        <v>7.4610000000000003</v>
      </c>
      <c r="G94" s="15">
        <f t="shared" ref="G94:N94" si="47">SUM(M11:M11)</f>
        <v>9.84</v>
      </c>
      <c r="H94" s="15">
        <f t="shared" si="47"/>
        <v>13.367999999999999</v>
      </c>
      <c r="I94" s="15">
        <f t="shared" si="47"/>
        <v>17.3</v>
      </c>
      <c r="J94" s="15">
        <f t="shared" si="47"/>
        <v>20.378</v>
      </c>
      <c r="K94" s="15">
        <f t="shared" si="47"/>
        <v>22.956</v>
      </c>
      <c r="L94" s="15">
        <f t="shared" si="47"/>
        <v>25.533999999999999</v>
      </c>
      <c r="M94" s="15">
        <f t="shared" si="47"/>
        <v>28.112000000000002</v>
      </c>
      <c r="N94" s="15">
        <f t="shared" si="47"/>
        <v>30.689999999999998</v>
      </c>
      <c r="O94" s="15"/>
      <c r="P94" s="15"/>
      <c r="Q94" s="15"/>
      <c r="R94" s="15"/>
      <c r="S94" s="15"/>
      <c r="T94" s="15"/>
      <c r="U94" s="1"/>
      <c r="V94" s="1"/>
    </row>
    <row r="95" spans="1:22" ht="20" customHeight="1">
      <c r="A95" s="1"/>
      <c r="B95" s="1"/>
      <c r="C95" s="1" t="s">
        <v>112</v>
      </c>
      <c r="D95" s="1"/>
      <c r="E95" s="15">
        <f>SUM(E16:H16)</f>
        <v>4.7629999999999999</v>
      </c>
      <c r="F95" s="15">
        <f>SUM(I16:L16)</f>
        <v>5.37</v>
      </c>
      <c r="G95" s="15">
        <f t="shared" ref="G95:N96" si="48">SUM(M16:M16)</f>
        <v>6.08</v>
      </c>
      <c r="H95" s="15">
        <f t="shared" si="48"/>
        <v>6.87</v>
      </c>
      <c r="I95" s="15">
        <f t="shared" si="48"/>
        <v>8.3000000000000007</v>
      </c>
      <c r="J95" s="15">
        <f t="shared" si="48"/>
        <v>9.4</v>
      </c>
      <c r="K95" s="15">
        <f t="shared" si="48"/>
        <v>10.4</v>
      </c>
      <c r="L95" s="15">
        <f t="shared" si="48"/>
        <v>11.4</v>
      </c>
      <c r="M95" s="15">
        <f t="shared" si="48"/>
        <v>12.399999999999999</v>
      </c>
      <c r="N95" s="15">
        <f t="shared" si="48"/>
        <v>13.4</v>
      </c>
      <c r="O95" s="15"/>
      <c r="P95" s="15"/>
      <c r="Q95" s="15"/>
      <c r="R95" s="15"/>
      <c r="S95" s="15"/>
      <c r="T95" s="15"/>
      <c r="U95" s="1"/>
      <c r="V95" s="1"/>
    </row>
    <row r="96" spans="1:22" ht="20" customHeight="1">
      <c r="A96" s="1"/>
      <c r="B96" s="1"/>
      <c r="C96" s="1" t="s">
        <v>146</v>
      </c>
      <c r="D96" s="1"/>
      <c r="E96" s="15">
        <f>SUM(E17:H17)</f>
        <v>1.0318000000000003</v>
      </c>
      <c r="F96" s="15">
        <f>SUM(I17:L17)</f>
        <v>2.0910000000000002</v>
      </c>
      <c r="G96" s="15">
        <f t="shared" si="48"/>
        <v>3.76</v>
      </c>
      <c r="H96" s="15">
        <f t="shared" si="48"/>
        <v>6.4979999999999984</v>
      </c>
      <c r="I96" s="15">
        <f t="shared" si="48"/>
        <v>9</v>
      </c>
      <c r="J96" s="15">
        <f t="shared" si="48"/>
        <v>10.978</v>
      </c>
      <c r="K96" s="15">
        <f t="shared" si="48"/>
        <v>12.555999999999999</v>
      </c>
      <c r="L96" s="15">
        <f t="shared" si="48"/>
        <v>14.133999999999999</v>
      </c>
      <c r="M96" s="15">
        <f t="shared" si="48"/>
        <v>15.712000000000003</v>
      </c>
      <c r="N96" s="15">
        <f t="shared" si="48"/>
        <v>17.29</v>
      </c>
      <c r="O96" s="15"/>
      <c r="P96" s="15"/>
      <c r="Q96" s="15"/>
      <c r="R96" s="15"/>
      <c r="S96" s="15"/>
      <c r="T96" s="15"/>
      <c r="U96" s="1"/>
      <c r="V96" s="1"/>
    </row>
    <row r="97" spans="1:22" ht="20" customHeight="1">
      <c r="A97" s="1"/>
      <c r="B97" s="1"/>
      <c r="C97" s="1" t="s">
        <v>150</v>
      </c>
      <c r="D97" s="1"/>
      <c r="E97" s="15">
        <f>SUM(E21:H21)</f>
        <v>1.0414560000000002</v>
      </c>
      <c r="F97" s="15">
        <f>SUM(I21:L21)</f>
        <v>1.71462</v>
      </c>
      <c r="G97" s="15">
        <f t="shared" ref="G97:N97" si="49">SUM(M21:M21)</f>
        <v>3.0831999999999997</v>
      </c>
      <c r="H97" s="15">
        <f t="shared" si="49"/>
        <v>5.3283599999999991</v>
      </c>
      <c r="I97" s="15">
        <f t="shared" si="49"/>
        <v>7.38</v>
      </c>
      <c r="J97" s="15">
        <f t="shared" si="49"/>
        <v>9.0019600000000004</v>
      </c>
      <c r="K97" s="15">
        <f t="shared" si="49"/>
        <v>10.295919999999999</v>
      </c>
      <c r="L97" s="15">
        <f t="shared" si="49"/>
        <v>11.589879999999999</v>
      </c>
      <c r="M97" s="15">
        <f t="shared" si="49"/>
        <v>12.883840000000003</v>
      </c>
      <c r="N97" s="15">
        <f t="shared" si="49"/>
        <v>14.1778</v>
      </c>
      <c r="O97" s="15"/>
      <c r="P97" s="15"/>
      <c r="Q97" s="15"/>
      <c r="R97" s="15"/>
      <c r="S97" s="15"/>
      <c r="T97" s="15"/>
      <c r="U97" s="1"/>
      <c r="V97" s="1"/>
    </row>
    <row r="98" spans="1:22" ht="20" customHeight="1">
      <c r="A98" s="1"/>
      <c r="B98" s="1"/>
      <c r="C98" s="1"/>
      <c r="D98" s="1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"/>
      <c r="V98" s="1"/>
    </row>
    <row r="99" spans="1:22" ht="20" customHeight="1">
      <c r="A99" s="1"/>
      <c r="B99" s="1"/>
      <c r="C99" s="1" t="s">
        <v>32</v>
      </c>
      <c r="D99" s="1"/>
      <c r="E99" s="15">
        <f>SUM(E37:H37)</f>
        <v>2.2544051818181821</v>
      </c>
      <c r="F99" s="15">
        <f>SUM(I37:L37)</f>
        <v>2.8876539999999999</v>
      </c>
      <c r="G99" s="15">
        <f t="shared" ref="G99:N99" si="50">SUM(M37:M37)</f>
        <v>4.4473818181818174</v>
      </c>
      <c r="H99" s="15">
        <f t="shared" si="50"/>
        <v>6.3684736363636354</v>
      </c>
      <c r="I99" s="15">
        <f t="shared" si="50"/>
        <v>8.5390909090909091</v>
      </c>
      <c r="J99" s="15">
        <f t="shared" si="50"/>
        <v>10.90096</v>
      </c>
      <c r="K99" s="15">
        <f t="shared" si="50"/>
        <v>12.714829090909088</v>
      </c>
      <c r="L99" s="15">
        <f t="shared" si="50"/>
        <v>14.328698181818185</v>
      </c>
      <c r="M99" s="15">
        <f t="shared" si="50"/>
        <v>15.942567272727272</v>
      </c>
      <c r="N99" s="15">
        <f t="shared" si="50"/>
        <v>17.556436363636365</v>
      </c>
      <c r="O99" s="15"/>
      <c r="P99" s="15"/>
      <c r="Q99" s="15"/>
      <c r="R99" s="15"/>
      <c r="S99" s="15"/>
      <c r="T99" s="15"/>
      <c r="U99" s="1"/>
      <c r="V99" s="1"/>
    </row>
    <row r="100" spans="1:22" ht="20" customHeight="1">
      <c r="A100" s="1"/>
      <c r="B100" s="1"/>
      <c r="C100" s="1" t="s">
        <v>167</v>
      </c>
      <c r="D100" s="1"/>
      <c r="E100" s="15">
        <f>SUM(E41:H41)</f>
        <v>-0.91368000000000005</v>
      </c>
      <c r="F100" s="15">
        <f>SUM(I41:L41)</f>
        <v>-0.66</v>
      </c>
      <c r="G100" s="15">
        <f t="shared" ref="G100:N100" si="51">SUM(M41:M41)</f>
        <v>-0.96</v>
      </c>
      <c r="H100" s="15">
        <f t="shared" si="51"/>
        <v>-1.44</v>
      </c>
      <c r="I100" s="15">
        <f t="shared" si="51"/>
        <v>-2</v>
      </c>
      <c r="J100" s="15">
        <f t="shared" si="51"/>
        <v>-2.4080000000000004</v>
      </c>
      <c r="K100" s="15">
        <f t="shared" si="51"/>
        <v>-2.7360000000000002</v>
      </c>
      <c r="L100" s="15">
        <f t="shared" si="51"/>
        <v>-3.0640000000000001</v>
      </c>
      <c r="M100" s="15">
        <f t="shared" si="51"/>
        <v>-3.3919999999999999</v>
      </c>
      <c r="N100" s="15">
        <f t="shared" si="51"/>
        <v>-3.72</v>
      </c>
      <c r="O100" s="15"/>
      <c r="P100" s="15"/>
      <c r="Q100" s="15"/>
      <c r="R100" s="15"/>
      <c r="S100" s="15"/>
      <c r="T100" s="15"/>
      <c r="U100" s="1"/>
      <c r="V100" s="1"/>
    </row>
    <row r="101" spans="1:22" ht="20" customHeight="1">
      <c r="A101" s="1"/>
      <c r="B101" s="1"/>
      <c r="C101" s="1" t="s">
        <v>170</v>
      </c>
      <c r="D101" s="1"/>
      <c r="E101" s="15">
        <f>SUM(E44:H44)</f>
        <v>-1.160893181818182</v>
      </c>
      <c r="F101" s="15">
        <f>SUM(I44:L44)</f>
        <v>-1.2862500000000001</v>
      </c>
      <c r="G101" s="15">
        <f t="shared" ref="G101:N101" si="52">SUM(M44:M44)</f>
        <v>-1.4031818181818183</v>
      </c>
      <c r="H101" s="15">
        <f t="shared" si="52"/>
        <v>-1.5201136363636365</v>
      </c>
      <c r="I101" s="15">
        <f t="shared" si="52"/>
        <v>-1.5590909090909093</v>
      </c>
      <c r="J101" s="15">
        <f t="shared" si="52"/>
        <v>-1.7150000000000003</v>
      </c>
      <c r="K101" s="15">
        <f t="shared" si="52"/>
        <v>-1.8709090909090911</v>
      </c>
      <c r="L101" s="15">
        <f t="shared" si="52"/>
        <v>-2.0268181818181823</v>
      </c>
      <c r="M101" s="15">
        <f t="shared" si="52"/>
        <v>-2.1827272727272731</v>
      </c>
      <c r="N101" s="15">
        <f t="shared" si="52"/>
        <v>-2.3386363636363638</v>
      </c>
      <c r="O101" s="15"/>
      <c r="P101" s="15"/>
      <c r="Q101" s="15"/>
      <c r="R101" s="15"/>
      <c r="S101" s="15"/>
      <c r="T101" s="15"/>
      <c r="U101" s="1"/>
      <c r="V101" s="1"/>
    </row>
    <row r="102" spans="1:22" ht="20" customHeight="1">
      <c r="A102" s="1"/>
      <c r="B102" s="1"/>
      <c r="C102" s="1" t="s">
        <v>172</v>
      </c>
      <c r="D102" s="1"/>
      <c r="E102" s="15">
        <f>SUM(E46:H46)</f>
        <v>0.17783199999999999</v>
      </c>
      <c r="F102" s="15">
        <f>SUM(I46:L46)</f>
        <v>0.94140400000000013</v>
      </c>
      <c r="G102" s="15">
        <f t="shared" ref="G102:N102" si="53">SUM(M46:M46)</f>
        <v>2.0841999999999992</v>
      </c>
      <c r="H102" s="15">
        <f t="shared" si="53"/>
        <v>3.4083599999999992</v>
      </c>
      <c r="I102" s="15">
        <f t="shared" si="53"/>
        <v>4.9799999999999995</v>
      </c>
      <c r="J102" s="15">
        <f t="shared" si="53"/>
        <v>6.7779600000000002</v>
      </c>
      <c r="K102" s="15">
        <f t="shared" si="53"/>
        <v>8.1079199999999965</v>
      </c>
      <c r="L102" s="15">
        <f t="shared" si="53"/>
        <v>9.2378800000000023</v>
      </c>
      <c r="M102" s="15">
        <f t="shared" si="53"/>
        <v>10.367839999999999</v>
      </c>
      <c r="N102" s="15">
        <f t="shared" si="53"/>
        <v>11.497800000000002</v>
      </c>
      <c r="O102" s="15"/>
      <c r="P102" s="15"/>
      <c r="Q102" s="15"/>
      <c r="R102" s="15"/>
      <c r="S102" s="15"/>
      <c r="T102" s="15"/>
      <c r="U102" s="1"/>
      <c r="V102" s="1"/>
    </row>
    <row r="103" spans="1:22" ht="20" customHeight="1">
      <c r="A103" s="1"/>
      <c r="B103" s="1"/>
      <c r="C103" s="1"/>
      <c r="D103" s="1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"/>
      <c r="V103" s="1"/>
    </row>
    <row r="104" spans="1:22" ht="20" customHeight="1">
      <c r="A104" s="1"/>
      <c r="B104" s="1"/>
      <c r="C104" s="1" t="s">
        <v>175</v>
      </c>
      <c r="D104" s="1"/>
      <c r="E104" s="15">
        <f>H50</f>
        <v>2.9288319999999999</v>
      </c>
      <c r="F104" s="15">
        <f t="shared" ref="F104:N104" si="54">L50</f>
        <v>3.8702359999999998</v>
      </c>
      <c r="G104" s="15">
        <f t="shared" si="54"/>
        <v>5.9544359999999994</v>
      </c>
      <c r="H104" s="15">
        <f t="shared" si="54"/>
        <v>9.3627959999999995</v>
      </c>
      <c r="I104" s="15">
        <f t="shared" si="54"/>
        <v>14.342796</v>
      </c>
      <c r="J104" s="15">
        <f t="shared" si="54"/>
        <v>21.120756</v>
      </c>
      <c r="K104" s="15">
        <f t="shared" si="54"/>
        <v>29.228675999999997</v>
      </c>
      <c r="L104" s="15">
        <f t="shared" si="54"/>
        <v>38.466555999999997</v>
      </c>
      <c r="M104" s="15">
        <f t="shared" si="54"/>
        <v>48.834395999999998</v>
      </c>
      <c r="N104" s="15">
        <f t="shared" si="54"/>
        <v>60.332195999999996</v>
      </c>
      <c r="O104" s="15"/>
      <c r="P104" s="15"/>
      <c r="Q104" s="15"/>
      <c r="R104" s="15"/>
      <c r="S104" s="15"/>
      <c r="T104" s="15"/>
      <c r="U104" s="1"/>
      <c r="V104" s="1"/>
    </row>
    <row r="105" spans="1:22" ht="20" customHeight="1">
      <c r="A105" s="1"/>
      <c r="B105" s="1"/>
      <c r="C105" s="1" t="s">
        <v>183</v>
      </c>
      <c r="D105" s="1"/>
      <c r="E105" s="15">
        <f>H59</f>
        <v>12.784461051359518</v>
      </c>
      <c r="F105" s="15">
        <f t="shared" ref="F105:N105" si="55">L59</f>
        <v>15.313205909365559</v>
      </c>
      <c r="G105" s="15">
        <f t="shared" si="55"/>
        <v>19.349735214501507</v>
      </c>
      <c r="H105" s="15">
        <f t="shared" si="55"/>
        <v>26.882324821752263</v>
      </c>
      <c r="I105" s="15">
        <f t="shared" si="55"/>
        <v>36.833926030211472</v>
      </c>
      <c r="J105" s="15">
        <f t="shared" si="55"/>
        <v>47.709481196374618</v>
      </c>
      <c r="K105" s="15">
        <f t="shared" si="55"/>
        <v>59.511624761329294</v>
      </c>
      <c r="L105" s="15">
        <f t="shared" si="55"/>
        <v>72.60772832628399</v>
      </c>
      <c r="M105" s="15">
        <f t="shared" si="55"/>
        <v>86.997791891238663</v>
      </c>
      <c r="N105" s="15">
        <f t="shared" si="55"/>
        <v>102.68181545619335</v>
      </c>
      <c r="O105" s="15"/>
      <c r="P105" s="15"/>
      <c r="Q105" s="15"/>
      <c r="R105" s="15"/>
      <c r="S105" s="15"/>
      <c r="T105" s="15"/>
      <c r="U105" s="1"/>
      <c r="V105" s="1"/>
    </row>
    <row r="106" spans="1:22" ht="20" customHeight="1">
      <c r="A106" s="1"/>
      <c r="B106" s="1"/>
      <c r="C106" s="1" t="s">
        <v>188</v>
      </c>
      <c r="D106" s="1"/>
      <c r="E106" s="15">
        <f>H66</f>
        <v>3.3830050513595156</v>
      </c>
      <c r="F106" s="15">
        <f t="shared" ref="F106:N106" si="56">L66</f>
        <v>4.1971299093655574</v>
      </c>
      <c r="G106" s="15">
        <f t="shared" si="56"/>
        <v>5.1504592145015096</v>
      </c>
      <c r="H106" s="15">
        <f t="shared" si="56"/>
        <v>7.3546888217522639</v>
      </c>
      <c r="I106" s="15">
        <f t="shared" si="56"/>
        <v>9.9262900302114776</v>
      </c>
      <c r="J106" s="15">
        <f t="shared" si="56"/>
        <v>11.799885196374619</v>
      </c>
      <c r="K106" s="15">
        <f t="shared" si="56"/>
        <v>13.306108761329302</v>
      </c>
      <c r="L106" s="15">
        <f t="shared" si="56"/>
        <v>14.812332326283983</v>
      </c>
      <c r="M106" s="15">
        <f t="shared" si="56"/>
        <v>16.318555891238663</v>
      </c>
      <c r="N106" s="15">
        <f t="shared" si="56"/>
        <v>17.824779456193344</v>
      </c>
      <c r="O106" s="15"/>
      <c r="P106" s="15"/>
      <c r="Q106" s="15"/>
      <c r="R106" s="15"/>
      <c r="S106" s="15"/>
      <c r="T106" s="15"/>
      <c r="U106" s="1"/>
      <c r="V106" s="1"/>
    </row>
    <row r="107" spans="1:22" ht="20" customHeight="1">
      <c r="A107" s="1"/>
      <c r="B107" s="1"/>
      <c r="C107" s="1" t="s">
        <v>192</v>
      </c>
      <c r="D107" s="1"/>
      <c r="E107" s="15">
        <f>H71</f>
        <v>9.4014559999999996</v>
      </c>
      <c r="F107" s="15">
        <f t="shared" ref="F107:N107" si="57">L71</f>
        <v>11.116076</v>
      </c>
      <c r="G107" s="15">
        <f t="shared" si="57"/>
        <v>14.199276000000001</v>
      </c>
      <c r="H107" s="15">
        <f t="shared" si="57"/>
        <v>19.527636000000001</v>
      </c>
      <c r="I107" s="15">
        <f t="shared" si="57"/>
        <v>26.907636</v>
      </c>
      <c r="J107" s="15">
        <f t="shared" si="57"/>
        <v>35.909596000000001</v>
      </c>
      <c r="K107" s="15">
        <f t="shared" si="57"/>
        <v>46.205516000000003</v>
      </c>
      <c r="L107" s="15">
        <f t="shared" si="57"/>
        <v>57.795396000000004</v>
      </c>
      <c r="M107" s="15">
        <f t="shared" si="57"/>
        <v>70.679236000000003</v>
      </c>
      <c r="N107" s="15">
        <f t="shared" si="57"/>
        <v>84.857036000000008</v>
      </c>
      <c r="O107" s="15"/>
      <c r="P107" s="15"/>
      <c r="Q107" s="15"/>
      <c r="R107" s="15"/>
      <c r="S107" s="15"/>
      <c r="T107" s="15"/>
      <c r="U107" s="1"/>
      <c r="V107" s="1"/>
    </row>
    <row r="108" spans="1:22" ht="20" customHeight="1">
      <c r="A108" s="1"/>
      <c r="B108" s="1"/>
      <c r="C108" s="1" t="s">
        <v>196</v>
      </c>
      <c r="D108" s="1"/>
      <c r="E108" s="15">
        <f>H76</f>
        <v>0</v>
      </c>
      <c r="F108" s="15">
        <f t="shared" ref="F108:N108" si="58">L76</f>
        <v>0</v>
      </c>
      <c r="G108" s="15">
        <f t="shared" si="58"/>
        <v>0</v>
      </c>
      <c r="H108" s="15">
        <f t="shared" si="58"/>
        <v>0</v>
      </c>
      <c r="I108" s="15">
        <f t="shared" si="58"/>
        <v>0</v>
      </c>
      <c r="J108" s="15">
        <f t="shared" si="58"/>
        <v>0</v>
      </c>
      <c r="K108" s="15">
        <f t="shared" si="58"/>
        <v>0</v>
      </c>
      <c r="L108" s="15">
        <f t="shared" si="58"/>
        <v>0</v>
      </c>
      <c r="M108" s="15">
        <f t="shared" si="58"/>
        <v>0</v>
      </c>
      <c r="N108" s="15">
        <f t="shared" si="58"/>
        <v>0</v>
      </c>
      <c r="O108" s="15"/>
      <c r="P108" s="15"/>
      <c r="Q108" s="15"/>
      <c r="R108" s="15"/>
      <c r="S108" s="15"/>
      <c r="T108" s="15"/>
      <c r="U108" s="1"/>
      <c r="V108" s="1"/>
    </row>
    <row r="109" spans="1:22" ht="20" customHeight="1">
      <c r="A109" s="1"/>
      <c r="B109" s="1"/>
      <c r="C109" s="1"/>
      <c r="D109" s="1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"/>
      <c r="V109" s="1"/>
    </row>
    <row r="110" spans="1:22" ht="20" customHeight="1">
      <c r="A110" s="1"/>
      <c r="B110" s="1"/>
      <c r="C110" s="1"/>
      <c r="D110" s="1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"/>
      <c r="V110" s="1"/>
    </row>
    <row r="111" spans="1:22" ht="21" customHeight="1">
      <c r="A111" s="1"/>
      <c r="B111" s="1"/>
      <c r="C111" s="1" t="s">
        <v>207</v>
      </c>
      <c r="D111" s="1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"/>
      <c r="V111" s="1"/>
    </row>
    <row r="112" spans="1:22" ht="21" customHeight="1">
      <c r="A112" s="1"/>
      <c r="B112" s="1"/>
      <c r="C112" s="1" t="s">
        <v>208</v>
      </c>
      <c r="D112" s="1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"/>
      <c r="V112" s="1"/>
    </row>
    <row r="113" spans="1:22" ht="20" customHeight="1">
      <c r="A113" s="1"/>
      <c r="B113" s="1"/>
      <c r="C113" s="1"/>
      <c r="D113" s="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"/>
      <c r="V113" s="1"/>
    </row>
    <row r="114" spans="1:22" ht="20" customHeight="1">
      <c r="A114" s="1"/>
      <c r="B114" s="1"/>
      <c r="C114" s="1"/>
      <c r="D114" s="1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"/>
      <c r="V114" s="1"/>
    </row>
    <row r="115" spans="1:22" ht="20" customHeight="1">
      <c r="A115" s="1"/>
      <c r="B115" s="1"/>
      <c r="C115" s="1"/>
      <c r="D115" s="1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"/>
      <c r="V115" s="1"/>
    </row>
    <row r="116" spans="1:22" ht="20" customHeight="1">
      <c r="A116" s="1"/>
      <c r="B116" s="1"/>
      <c r="C116" s="1"/>
      <c r="D116" s="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"/>
      <c r="V116" s="1"/>
    </row>
    <row r="117" spans="1:22" ht="20" customHeight="1">
      <c r="A117" s="1"/>
      <c r="B117" s="1"/>
      <c r="C117" s="1"/>
      <c r="D117" s="1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"/>
      <c r="V117" s="1"/>
    </row>
    <row r="118" spans="1:22" ht="20" customHeight="1">
      <c r="A118" s="1"/>
      <c r="B118" s="1"/>
      <c r="C118" s="1"/>
      <c r="D118" s="1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"/>
      <c r="V118" s="1"/>
    </row>
    <row r="119" spans="1:22" ht="20" customHeight="1">
      <c r="A119" s="1"/>
      <c r="B119" s="1"/>
      <c r="C119" s="1"/>
      <c r="D119" s="1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"/>
      <c r="V119" s="1"/>
    </row>
    <row r="120" spans="1:22" ht="20" customHeight="1">
      <c r="A120" s="1"/>
      <c r="B120" s="1"/>
      <c r="C120" s="1"/>
      <c r="D120" s="1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"/>
      <c r="V120" s="1"/>
    </row>
    <row r="121" spans="1:22" ht="20" customHeight="1">
      <c r="A121" s="1"/>
      <c r="B121" s="1"/>
      <c r="C121" s="1"/>
      <c r="D121" s="1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"/>
      <c r="V121" s="1"/>
    </row>
    <row r="122" spans="1:22" ht="20" customHeight="1">
      <c r="A122" s="1"/>
      <c r="B122" s="1"/>
      <c r="C122" s="1"/>
      <c r="D122" s="1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"/>
      <c r="V122" s="1"/>
    </row>
    <row r="123" spans="1:22" ht="20" customHeight="1">
      <c r="A123" s="1"/>
      <c r="B123" s="1"/>
      <c r="C123" s="1"/>
      <c r="D123" s="1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"/>
      <c r="V123" s="1"/>
    </row>
    <row r="124" spans="1:22" ht="20" customHeight="1">
      <c r="A124" s="1"/>
      <c r="B124" s="1"/>
      <c r="C124" s="1"/>
      <c r="D124" s="1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"/>
      <c r="V124" s="1"/>
    </row>
    <row r="125" spans="1:22" ht="20" customHeight="1">
      <c r="A125" s="1"/>
      <c r="B125" s="1"/>
      <c r="C125" s="1"/>
      <c r="D125" s="1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"/>
      <c r="V125" s="1"/>
    </row>
    <row r="126" spans="1:22" ht="20" customHeight="1">
      <c r="A126" s="1"/>
      <c r="B126" s="1"/>
      <c r="C126" s="1"/>
      <c r="D126" s="1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"/>
      <c r="V126" s="1"/>
    </row>
    <row r="127" spans="1:22" ht="20" customHeight="1">
      <c r="A127" s="1"/>
      <c r="B127" s="1"/>
      <c r="C127" s="1"/>
      <c r="D127" s="1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"/>
      <c r="V127" s="1"/>
    </row>
    <row r="128" spans="1:22" ht="20" customHeight="1">
      <c r="A128" s="1"/>
      <c r="B128" s="1"/>
      <c r="C128" s="1"/>
      <c r="D128" s="1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"/>
      <c r="V128" s="1"/>
    </row>
    <row r="129" spans="1:22" ht="20" customHeight="1">
      <c r="A129" s="1"/>
      <c r="B129" s="1"/>
      <c r="C129" s="1"/>
      <c r="D129" s="1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"/>
      <c r="V129" s="1"/>
    </row>
    <row r="130" spans="1:22" ht="20" customHeight="1">
      <c r="A130" s="1"/>
      <c r="B130" s="1"/>
      <c r="C130" s="1"/>
      <c r="D130" s="1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"/>
      <c r="V130" s="1"/>
    </row>
    <row r="131" spans="1:22" ht="20" customHeight="1">
      <c r="A131" s="1"/>
      <c r="B131" s="1"/>
      <c r="C131" s="1"/>
      <c r="D131" s="1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"/>
      <c r="V131" s="1"/>
    </row>
    <row r="132" spans="1:22" ht="20" customHeight="1">
      <c r="A132" s="1"/>
      <c r="B132" s="1"/>
      <c r="C132" s="1"/>
      <c r="D132" s="1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"/>
      <c r="V132" s="1"/>
    </row>
    <row r="133" spans="1:22" ht="20" customHeight="1">
      <c r="A133" s="1"/>
      <c r="B133" s="1"/>
      <c r="C133" s="1"/>
      <c r="D133" s="1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"/>
      <c r="V133" s="1"/>
    </row>
    <row r="134" spans="1:22" ht="20" customHeight="1">
      <c r="A134" s="1"/>
      <c r="B134" s="1"/>
      <c r="C134" s="1"/>
      <c r="D134" s="1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"/>
      <c r="V134" s="1"/>
    </row>
    <row r="135" spans="1:22" ht="20" customHeight="1">
      <c r="A135" s="1"/>
      <c r="B135" s="1"/>
      <c r="C135" s="1"/>
      <c r="D135" s="1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"/>
      <c r="V135" s="1"/>
    </row>
    <row r="136" spans="1:22" ht="20" customHeight="1">
      <c r="A136" s="1"/>
      <c r="B136" s="1"/>
      <c r="C136" s="1"/>
      <c r="D136" s="1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"/>
      <c r="V136" s="1"/>
    </row>
    <row r="137" spans="1:22" ht="20" customHeight="1">
      <c r="A137" s="1"/>
      <c r="B137" s="1"/>
      <c r="C137" s="1"/>
      <c r="D137" s="1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"/>
      <c r="V137" s="1"/>
    </row>
    <row r="138" spans="1:22" ht="20" customHeight="1">
      <c r="A138" s="1"/>
      <c r="B138" s="1"/>
      <c r="C138" s="1"/>
      <c r="D138" s="1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"/>
      <c r="V138" s="1"/>
    </row>
    <row r="139" spans="1:22" ht="20" customHeight="1">
      <c r="A139" s="1"/>
      <c r="B139" s="1"/>
      <c r="C139" s="1"/>
      <c r="D139" s="1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"/>
      <c r="V139" s="1"/>
    </row>
    <row r="140" spans="1:22" ht="20" customHeight="1">
      <c r="A140" s="1"/>
      <c r="B140" s="1"/>
      <c r="C140" s="1"/>
      <c r="D140" s="1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"/>
      <c r="V140" s="1"/>
    </row>
    <row r="141" spans="1:22" ht="20" customHeight="1">
      <c r="A141" s="1"/>
      <c r="B141" s="1"/>
      <c r="C141" s="1"/>
      <c r="D141" s="1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"/>
      <c r="V141" s="1"/>
    </row>
    <row r="142" spans="1:22" ht="20" customHeight="1">
      <c r="A142" s="1"/>
      <c r="B142" s="1"/>
      <c r="C142" s="1"/>
      <c r="D142" s="1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"/>
      <c r="V142" s="1"/>
    </row>
    <row r="143" spans="1:22" ht="20" customHeight="1">
      <c r="A143" s="1"/>
      <c r="B143" s="1"/>
      <c r="C143" s="1"/>
      <c r="D143" s="1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"/>
      <c r="V143" s="1"/>
    </row>
    <row r="144" spans="1:22" ht="20" customHeight="1">
      <c r="A144" s="1"/>
      <c r="B144" s="1"/>
      <c r="C144" s="1"/>
      <c r="D144" s="1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"/>
      <c r="V144" s="1"/>
    </row>
    <row r="145" spans="1:22" ht="20" customHeight="1">
      <c r="A145" s="1"/>
      <c r="B145" s="1"/>
      <c r="C145" s="1"/>
      <c r="D145" s="1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"/>
      <c r="V145" s="1"/>
    </row>
    <row r="146" spans="1:22" ht="20" customHeight="1">
      <c r="A146" s="1"/>
      <c r="B146" s="1"/>
      <c r="C146" s="1"/>
      <c r="D146" s="1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"/>
      <c r="V146" s="1"/>
    </row>
    <row r="147" spans="1:22" ht="20" customHeight="1">
      <c r="A147" s="1"/>
      <c r="B147" s="1"/>
      <c r="C147" s="1"/>
      <c r="D147" s="1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"/>
      <c r="V147" s="1"/>
    </row>
    <row r="148" spans="1:22" ht="20" customHeight="1">
      <c r="A148" s="1"/>
      <c r="B148" s="1"/>
      <c r="C148" s="1"/>
      <c r="D148" s="1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"/>
      <c r="V148" s="1"/>
    </row>
    <row r="149" spans="1:22" ht="20" customHeight="1">
      <c r="A149" s="1"/>
      <c r="B149" s="1"/>
      <c r="C149" s="1"/>
      <c r="D149" s="1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"/>
      <c r="V149" s="1"/>
    </row>
    <row r="150" spans="1:22" ht="20" customHeight="1">
      <c r="A150" s="1"/>
      <c r="B150" s="1"/>
      <c r="C150" s="1"/>
      <c r="D150" s="1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5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G78" sqref="G78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209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 t="s">
        <v>210</v>
      </c>
      <c r="D5" s="1"/>
      <c r="E5" s="4">
        <f>Assumptions!E90</f>
        <v>0.115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 t="s">
        <v>47</v>
      </c>
      <c r="D6" s="1"/>
      <c r="E6" s="4">
        <f>Assumptions!E16</f>
        <v>0.03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20" customHeight="1">
      <c r="A8" s="1"/>
      <c r="B8" s="1"/>
      <c r="C8" s="1" t="s">
        <v>211</v>
      </c>
      <c r="D8" s="1"/>
      <c r="E8" s="2">
        <f>(Assumptions!E9-Assumptions!E11)/365</f>
        <v>0.29589041095890412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</row>
    <row r="9" spans="1:22" ht="20" customHeight="1">
      <c r="A9" s="1"/>
      <c r="B9" s="1"/>
      <c r="C9" s="1" t="s">
        <v>212</v>
      </c>
      <c r="D9" s="1"/>
      <c r="E9" s="2">
        <f>E8+(Assumptions!E10-Assumptions!E9)/365</f>
        <v>1.2958904109589042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</row>
    <row r="10" spans="1:22" ht="20" customHeight="1">
      <c r="A10" s="1"/>
      <c r="B10" s="1"/>
      <c r="C10" s="1" t="s">
        <v>213</v>
      </c>
      <c r="D10" s="1"/>
      <c r="E10" s="2">
        <f>SUM(Statements!E50:E51)</f>
        <v>3.8879999999999999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</row>
    <row r="11" spans="1:22" ht="20" customHeight="1">
      <c r="A11" s="1"/>
      <c r="B11" s="1"/>
      <c r="C11" s="1" t="s">
        <v>214</v>
      </c>
      <c r="D11" s="1"/>
      <c r="E11" s="2">
        <f>Assumptions!E34</f>
        <v>0.26500000000000001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</row>
    <row r="12" spans="1:22" ht="20" customHeight="1">
      <c r="A12" s="1"/>
      <c r="B12" s="1"/>
      <c r="C12" s="1" t="s">
        <v>215</v>
      </c>
      <c r="D12" s="1"/>
      <c r="E12" s="2">
        <f>Assumptions!E37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20" customHeight="1">
      <c r="A13" s="1"/>
      <c r="B13" s="1"/>
      <c r="C13" s="1" t="s">
        <v>216</v>
      </c>
      <c r="D13" s="1"/>
      <c r="E13" s="2">
        <f>Statements!E55*Assumptions!E18</f>
        <v>0.29449999999999998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</row>
    <row r="14" spans="1:22" ht="20" customHeight="1">
      <c r="A14" s="1"/>
      <c r="B14" s="1"/>
      <c r="C14" s="1" t="s">
        <v>151</v>
      </c>
      <c r="D14" s="1"/>
      <c r="E14" s="2">
        <f>Assumptions!E15</f>
        <v>1.08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</row>
    <row r="15" spans="1:22" ht="20" customHeight="1">
      <c r="A15" s="1"/>
      <c r="B15" s="1"/>
      <c r="C15" s="1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</row>
    <row r="16" spans="1:22" ht="20" customHeight="1">
      <c r="A16" s="1"/>
      <c r="B16" s="1"/>
      <c r="C16" s="1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20" customHeight="1">
      <c r="A17" s="1"/>
      <c r="B17" s="1"/>
      <c r="C17" s="1"/>
      <c r="D17" s="1"/>
      <c r="E17" s="2"/>
      <c r="F17" s="2" t="s">
        <v>133</v>
      </c>
      <c r="G17" s="2" t="s">
        <v>134</v>
      </c>
      <c r="H17" s="2" t="s">
        <v>135</v>
      </c>
      <c r="I17" s="2" t="s">
        <v>136</v>
      </c>
      <c r="J17" s="2" t="s">
        <v>137</v>
      </c>
      <c r="K17" s="2" t="s">
        <v>138</v>
      </c>
      <c r="L17" s="2" t="s">
        <v>139</v>
      </c>
      <c r="M17" s="2" t="s">
        <v>21</v>
      </c>
      <c r="N17" s="2" t="s">
        <v>22</v>
      </c>
      <c r="O17" s="2" t="s">
        <v>23</v>
      </c>
      <c r="P17" s="2" t="s">
        <v>24</v>
      </c>
      <c r="Q17" s="2" t="s">
        <v>25</v>
      </c>
      <c r="R17" s="2" t="s">
        <v>26</v>
      </c>
      <c r="S17" s="2" t="s">
        <v>27</v>
      </c>
      <c r="T17" s="2" t="s">
        <v>28</v>
      </c>
      <c r="U17" s="1"/>
      <c r="V17" s="1"/>
    </row>
    <row r="18" spans="1:22" ht="20" customHeight="1">
      <c r="A18" s="1"/>
      <c r="B18" s="1"/>
      <c r="C18" s="1" t="s">
        <v>217</v>
      </c>
      <c r="D18" s="1"/>
      <c r="E18" s="2"/>
      <c r="F18" s="2">
        <f>Statements!F8</f>
        <v>0.25</v>
      </c>
      <c r="G18" s="2">
        <f>Statements!G8</f>
        <v>0.25</v>
      </c>
      <c r="H18" s="2">
        <f>Statements!H8</f>
        <v>0.25</v>
      </c>
      <c r="I18" s="2">
        <f>Statements!I8</f>
        <v>0.25</v>
      </c>
      <c r="J18" s="2">
        <f>Statements!J8</f>
        <v>0.25</v>
      </c>
      <c r="K18" s="2">
        <f>Statements!K8</f>
        <v>0.25</v>
      </c>
      <c r="L18" s="2">
        <f>Statements!L8</f>
        <v>0.25</v>
      </c>
      <c r="M18" s="2">
        <f>Statements!M8</f>
        <v>1</v>
      </c>
      <c r="N18" s="2">
        <f>Statements!N8</f>
        <v>1</v>
      </c>
      <c r="O18" s="2">
        <f>Statements!O8</f>
        <v>1</v>
      </c>
      <c r="P18" s="2">
        <f>Statements!P8</f>
        <v>1</v>
      </c>
      <c r="Q18" s="2">
        <f>Statements!Q8</f>
        <v>1</v>
      </c>
      <c r="R18" s="2">
        <f>Statements!R8</f>
        <v>1</v>
      </c>
      <c r="S18" s="2">
        <f>Statements!S8</f>
        <v>1</v>
      </c>
      <c r="T18" s="2">
        <f>Statements!T8</f>
        <v>1</v>
      </c>
      <c r="U18" s="1"/>
      <c r="V18" s="1"/>
    </row>
    <row r="19" spans="1:22" ht="20" customHeight="1">
      <c r="A19" s="1"/>
      <c r="B19" s="1"/>
      <c r="C19" s="1" t="s">
        <v>218</v>
      </c>
      <c r="D19" s="1"/>
      <c r="E19" s="2"/>
      <c r="F19" s="2">
        <f>0</f>
        <v>0</v>
      </c>
      <c r="G19" s="2">
        <f t="shared" ref="G19:T19" si="0">F20</f>
        <v>0.25</v>
      </c>
      <c r="H19" s="2">
        <f t="shared" si="0"/>
        <v>0.5</v>
      </c>
      <c r="I19" s="2">
        <f t="shared" si="0"/>
        <v>0.75</v>
      </c>
      <c r="J19" s="2">
        <f t="shared" si="0"/>
        <v>1</v>
      </c>
      <c r="K19" s="2">
        <f t="shared" si="0"/>
        <v>1.25</v>
      </c>
      <c r="L19" s="2">
        <f t="shared" si="0"/>
        <v>1.5</v>
      </c>
      <c r="M19" s="2">
        <f t="shared" si="0"/>
        <v>1.75</v>
      </c>
      <c r="N19" s="2">
        <f t="shared" si="0"/>
        <v>2.75</v>
      </c>
      <c r="O19" s="2">
        <f t="shared" si="0"/>
        <v>3.75</v>
      </c>
      <c r="P19" s="2">
        <f t="shared" si="0"/>
        <v>4.75</v>
      </c>
      <c r="Q19" s="2">
        <f t="shared" si="0"/>
        <v>5.75</v>
      </c>
      <c r="R19" s="2">
        <f t="shared" si="0"/>
        <v>6.75</v>
      </c>
      <c r="S19" s="2">
        <f t="shared" si="0"/>
        <v>7.75</v>
      </c>
      <c r="T19" s="2">
        <f t="shared" si="0"/>
        <v>8.75</v>
      </c>
      <c r="U19" s="1"/>
      <c r="V19" s="1"/>
    </row>
    <row r="20" spans="1:22" ht="20" customHeight="1">
      <c r="A20" s="1"/>
      <c r="B20" s="1"/>
      <c r="C20" s="1" t="s">
        <v>219</v>
      </c>
      <c r="D20" s="1"/>
      <c r="E20" s="2"/>
      <c r="F20" s="2">
        <f t="shared" ref="F20:T20" si="1">SUM(F18:F19)</f>
        <v>0.25</v>
      </c>
      <c r="G20" s="2">
        <f t="shared" si="1"/>
        <v>0.5</v>
      </c>
      <c r="H20" s="2">
        <f t="shared" si="1"/>
        <v>0.75</v>
      </c>
      <c r="I20" s="2">
        <f t="shared" si="1"/>
        <v>1</v>
      </c>
      <c r="J20" s="2">
        <f t="shared" si="1"/>
        <v>1.25</v>
      </c>
      <c r="K20" s="2">
        <f t="shared" si="1"/>
        <v>1.5</v>
      </c>
      <c r="L20" s="2">
        <f t="shared" si="1"/>
        <v>1.75</v>
      </c>
      <c r="M20" s="2">
        <f t="shared" si="1"/>
        <v>2.75</v>
      </c>
      <c r="N20" s="2">
        <f t="shared" si="1"/>
        <v>3.75</v>
      </c>
      <c r="O20" s="2">
        <f t="shared" si="1"/>
        <v>4.75</v>
      </c>
      <c r="P20" s="2">
        <f t="shared" si="1"/>
        <v>5.75</v>
      </c>
      <c r="Q20" s="2">
        <f t="shared" si="1"/>
        <v>6.75</v>
      </c>
      <c r="R20" s="2">
        <f t="shared" si="1"/>
        <v>7.75</v>
      </c>
      <c r="S20" s="2">
        <f t="shared" si="1"/>
        <v>8.75</v>
      </c>
      <c r="T20" s="2">
        <f t="shared" si="1"/>
        <v>9.75</v>
      </c>
      <c r="U20" s="1"/>
      <c r="V20" s="1"/>
    </row>
    <row r="21" spans="1:22" ht="20" customHeight="1">
      <c r="A21" s="1"/>
      <c r="B21" s="1"/>
      <c r="C21" s="1" t="s">
        <v>220</v>
      </c>
      <c r="D21" s="1"/>
      <c r="E21" s="2"/>
      <c r="F21" s="2">
        <f>Statements!F74</f>
        <v>-2.4831999999999799E-2</v>
      </c>
      <c r="G21" s="2">
        <f>Statements!G74</f>
        <v>6.1374560000000189E-2</v>
      </c>
      <c r="H21" s="2">
        <f>Statements!H74</f>
        <v>9.9289440000000062E-2</v>
      </c>
      <c r="I21" s="2">
        <f>Statements!I74</f>
        <v>0.29040040000000034</v>
      </c>
      <c r="J21" s="2">
        <f>Statements!J74</f>
        <v>0.2263856999999998</v>
      </c>
      <c r="K21" s="2">
        <f>Statements!K74</f>
        <v>0.1950012000000001</v>
      </c>
      <c r="L21" s="2">
        <f>Statements!L74</f>
        <v>0.22961670000000001</v>
      </c>
      <c r="M21" s="2">
        <f>Statements!M74</f>
        <v>2.0842000000000001</v>
      </c>
      <c r="N21" s="2">
        <f>Statements!N74</f>
        <v>3.4083599999999996</v>
      </c>
      <c r="O21" s="2">
        <f>Statements!O74</f>
        <v>4.9800000000000004</v>
      </c>
      <c r="P21" s="2">
        <f>Statements!P74</f>
        <v>6.7779600000000002</v>
      </c>
      <c r="Q21" s="2">
        <f>Statements!Q74</f>
        <v>8.10792</v>
      </c>
      <c r="R21" s="2">
        <f>Statements!R74</f>
        <v>9.2378800000000005</v>
      </c>
      <c r="S21" s="2">
        <f>Statements!S74</f>
        <v>10.367840000000003</v>
      </c>
      <c r="T21" s="2">
        <f>Statements!T74</f>
        <v>11.4978</v>
      </c>
      <c r="U21" s="1"/>
      <c r="V21" s="1"/>
    </row>
    <row r="22" spans="1:22" ht="20" customHeight="1">
      <c r="A22" s="1"/>
      <c r="B22" s="1"/>
      <c r="C22" s="1" t="s">
        <v>221</v>
      </c>
      <c r="D22" s="1"/>
      <c r="E22" s="2"/>
      <c r="F22" s="2">
        <f>Statements!F26+Statements!F42+Statements!F43</f>
        <v>0</v>
      </c>
      <c r="G22" s="2">
        <f>Statements!G26+Statements!G42+Statements!G43</f>
        <v>0</v>
      </c>
      <c r="H22" s="2">
        <f>Statements!H26+Statements!H42+Statements!H43</f>
        <v>0</v>
      </c>
      <c r="I22" s="2">
        <f>Statements!I26+Statements!I42+Statements!I43</f>
        <v>0</v>
      </c>
      <c r="J22" s="2">
        <f>Statements!J26+Statements!J42+Statements!J43</f>
        <v>0</v>
      </c>
      <c r="K22" s="2">
        <f>Statements!K26+Statements!K42+Statements!K43</f>
        <v>0</v>
      </c>
      <c r="L22" s="2">
        <f>Statements!L26+Statements!L42+Statements!L43</f>
        <v>0</v>
      </c>
      <c r="M22" s="2">
        <f>Statements!M26+Statements!M42+Statements!M43</f>
        <v>0</v>
      </c>
      <c r="N22" s="2">
        <f>Statements!N26+Statements!N42+Statements!N43</f>
        <v>0</v>
      </c>
      <c r="O22" s="2">
        <f>Statements!O26+Statements!O42+Statements!O43</f>
        <v>0</v>
      </c>
      <c r="P22" s="2">
        <f>Statements!P26+Statements!P42+Statements!P43</f>
        <v>0</v>
      </c>
      <c r="Q22" s="2">
        <f>Statements!Q26+Statements!Q42+Statements!Q43</f>
        <v>0</v>
      </c>
      <c r="R22" s="2">
        <f>Statements!R26+Statements!R42+Statements!R43</f>
        <v>0</v>
      </c>
      <c r="S22" s="2">
        <f>Statements!S26+Statements!S42+Statements!S43</f>
        <v>0</v>
      </c>
      <c r="T22" s="2">
        <f>Statements!T26+Statements!T42+Statements!T43</f>
        <v>0</v>
      </c>
      <c r="U22" s="1"/>
      <c r="V22" s="1"/>
    </row>
    <row r="23" spans="1:22" ht="20" customHeight="1">
      <c r="A23" s="1"/>
      <c r="B23" s="1"/>
      <c r="C23" s="1" t="s">
        <v>222</v>
      </c>
      <c r="D23" s="1"/>
      <c r="E23" s="2"/>
      <c r="F23" s="2">
        <f t="shared" ref="F23:T23" si="2">SUM(F21:F22)</f>
        <v>-2.4831999999999799E-2</v>
      </c>
      <c r="G23" s="2">
        <f t="shared" si="2"/>
        <v>6.1374560000000189E-2</v>
      </c>
      <c r="H23" s="2">
        <f t="shared" si="2"/>
        <v>9.9289440000000062E-2</v>
      </c>
      <c r="I23" s="2">
        <f t="shared" si="2"/>
        <v>0.29040040000000034</v>
      </c>
      <c r="J23" s="2">
        <f t="shared" si="2"/>
        <v>0.2263856999999998</v>
      </c>
      <c r="K23" s="2">
        <f t="shared" si="2"/>
        <v>0.1950012000000001</v>
      </c>
      <c r="L23" s="2">
        <f t="shared" si="2"/>
        <v>0.22961670000000001</v>
      </c>
      <c r="M23" s="2">
        <f t="shared" si="2"/>
        <v>2.0842000000000001</v>
      </c>
      <c r="N23" s="2">
        <f t="shared" si="2"/>
        <v>3.4083599999999996</v>
      </c>
      <c r="O23" s="2">
        <f t="shared" si="2"/>
        <v>4.9800000000000004</v>
      </c>
      <c r="P23" s="2">
        <f t="shared" si="2"/>
        <v>6.7779600000000002</v>
      </c>
      <c r="Q23" s="2">
        <f t="shared" si="2"/>
        <v>8.10792</v>
      </c>
      <c r="R23" s="2">
        <f t="shared" si="2"/>
        <v>9.2378800000000005</v>
      </c>
      <c r="S23" s="2">
        <f t="shared" si="2"/>
        <v>10.367840000000003</v>
      </c>
      <c r="T23" s="2">
        <f t="shared" si="2"/>
        <v>11.4978</v>
      </c>
      <c r="U23" s="1"/>
      <c r="V23" s="1"/>
    </row>
    <row r="24" spans="1:22" ht="20" customHeight="1">
      <c r="A24" s="1"/>
      <c r="B24" s="1"/>
      <c r="C24" s="1" t="s">
        <v>223</v>
      </c>
      <c r="D24" s="1"/>
      <c r="E24" s="2"/>
      <c r="F24" s="2">
        <f t="shared" ref="F24:T24" si="3">MAX(0,MIN(1,($E$8-F19)/F18))</f>
        <v>1</v>
      </c>
      <c r="G24" s="2">
        <f t="shared" si="3"/>
        <v>0.18356164383561646</v>
      </c>
      <c r="H24" s="2">
        <f t="shared" si="3"/>
        <v>0</v>
      </c>
      <c r="I24" s="2">
        <f t="shared" si="3"/>
        <v>0</v>
      </c>
      <c r="J24" s="2">
        <f t="shared" si="3"/>
        <v>0</v>
      </c>
      <c r="K24" s="2">
        <f t="shared" si="3"/>
        <v>0</v>
      </c>
      <c r="L24" s="2">
        <f t="shared" si="3"/>
        <v>0</v>
      </c>
      <c r="M24" s="2">
        <f t="shared" si="3"/>
        <v>0</v>
      </c>
      <c r="N24" s="2">
        <f t="shared" si="3"/>
        <v>0</v>
      </c>
      <c r="O24" s="2">
        <f t="shared" si="3"/>
        <v>0</v>
      </c>
      <c r="P24" s="2">
        <f t="shared" si="3"/>
        <v>0</v>
      </c>
      <c r="Q24" s="2">
        <f t="shared" si="3"/>
        <v>0</v>
      </c>
      <c r="R24" s="2">
        <f t="shared" si="3"/>
        <v>0</v>
      </c>
      <c r="S24" s="2">
        <f t="shared" si="3"/>
        <v>0</v>
      </c>
      <c r="T24" s="2">
        <f t="shared" si="3"/>
        <v>0</v>
      </c>
      <c r="U24" s="1"/>
      <c r="V24" s="1"/>
    </row>
    <row r="25" spans="1:22" ht="20" customHeight="1">
      <c r="A25" s="1"/>
      <c r="B25" s="1"/>
      <c r="C25" s="1" t="s">
        <v>224</v>
      </c>
      <c r="D25" s="1"/>
      <c r="E25" s="2"/>
      <c r="F25" s="2">
        <f t="shared" ref="F25:T25" si="4">MAX(0,MIN(1,($E$9-F19)/F18))</f>
        <v>1</v>
      </c>
      <c r="G25" s="2">
        <f t="shared" si="4"/>
        <v>1</v>
      </c>
      <c r="H25" s="2">
        <f t="shared" si="4"/>
        <v>1</v>
      </c>
      <c r="I25" s="2">
        <f t="shared" si="4"/>
        <v>1</v>
      </c>
      <c r="J25" s="2">
        <f t="shared" si="4"/>
        <v>1</v>
      </c>
      <c r="K25" s="2">
        <f t="shared" si="4"/>
        <v>0.18356164383561691</v>
      </c>
      <c r="L25" s="2">
        <f t="shared" si="4"/>
        <v>0</v>
      </c>
      <c r="M25" s="2">
        <f t="shared" si="4"/>
        <v>0</v>
      </c>
      <c r="N25" s="2">
        <f t="shared" si="4"/>
        <v>0</v>
      </c>
      <c r="O25" s="2">
        <f t="shared" si="4"/>
        <v>0</v>
      </c>
      <c r="P25" s="2">
        <f t="shared" si="4"/>
        <v>0</v>
      </c>
      <c r="Q25" s="2">
        <f t="shared" si="4"/>
        <v>0</v>
      </c>
      <c r="R25" s="2">
        <f t="shared" si="4"/>
        <v>0</v>
      </c>
      <c r="S25" s="2">
        <f t="shared" si="4"/>
        <v>0</v>
      </c>
      <c r="T25" s="2">
        <f t="shared" si="4"/>
        <v>0</v>
      </c>
      <c r="U25" s="1"/>
      <c r="V25" s="1"/>
    </row>
    <row r="26" spans="1:22" ht="20" customHeight="1">
      <c r="A26" s="1"/>
      <c r="B26" s="1"/>
      <c r="C26" s="1" t="s">
        <v>225</v>
      </c>
      <c r="D26" s="1"/>
      <c r="E26" s="2"/>
      <c r="F26" s="2">
        <f t="shared" ref="F26:T26" si="5">1/(1+$E$5)^(F20-$E$8)</f>
        <v>1.0050078710552111</v>
      </c>
      <c r="G26" s="2">
        <f t="shared" si="5"/>
        <v>0.97802677907792124</v>
      </c>
      <c r="H26" s="2">
        <f t="shared" si="5"/>
        <v>0.95177003896418721</v>
      </c>
      <c r="I26" s="2">
        <f t="shared" si="5"/>
        <v>0.92621820429491364</v>
      </c>
      <c r="J26" s="2">
        <f t="shared" si="5"/>
        <v>0.90135235072216247</v>
      </c>
      <c r="K26" s="2">
        <f t="shared" si="5"/>
        <v>0.8771540619532926</v>
      </c>
      <c r="L26" s="2">
        <f t="shared" si="5"/>
        <v>0.85360541611137875</v>
      </c>
      <c r="M26" s="2">
        <f t="shared" si="5"/>
        <v>0.76556539561558634</v>
      </c>
      <c r="N26" s="2">
        <f t="shared" si="5"/>
        <v>0.68660573597810426</v>
      </c>
      <c r="O26" s="2">
        <f t="shared" si="5"/>
        <v>0.61578989773821013</v>
      </c>
      <c r="P26" s="2">
        <f t="shared" si="5"/>
        <v>0.55227793519121982</v>
      </c>
      <c r="Q26" s="2">
        <f t="shared" si="5"/>
        <v>0.49531653380378454</v>
      </c>
      <c r="R26" s="2">
        <f t="shared" si="5"/>
        <v>0.44423007516034496</v>
      </c>
      <c r="S26" s="2">
        <f t="shared" si="5"/>
        <v>0.39841262346219281</v>
      </c>
      <c r="T26" s="2">
        <f t="shared" si="5"/>
        <v>0.35732073853111462</v>
      </c>
      <c r="U26" s="1"/>
      <c r="V26" s="1"/>
    </row>
    <row r="27" spans="1:22" ht="20" customHeight="1">
      <c r="A27" s="1"/>
      <c r="B27" s="1"/>
      <c r="C27" s="1" t="s">
        <v>226</v>
      </c>
      <c r="D27" s="1"/>
      <c r="E27" s="2"/>
      <c r="F27" s="2">
        <f t="shared" ref="F27:T27" si="6">1/(1+$E$5)^(F20-$E$9)</f>
        <v>1.1205837762265605</v>
      </c>
      <c r="G27" s="2">
        <f t="shared" si="6"/>
        <v>1.0904998586718824</v>
      </c>
      <c r="H27" s="2">
        <f t="shared" si="6"/>
        <v>1.0612235934450687</v>
      </c>
      <c r="I27" s="2">
        <f t="shared" si="6"/>
        <v>1.0327332977888286</v>
      </c>
      <c r="J27" s="2">
        <f t="shared" si="6"/>
        <v>1.0050078710552111</v>
      </c>
      <c r="K27" s="2">
        <f t="shared" si="6"/>
        <v>0.97802677907792124</v>
      </c>
      <c r="L27" s="2">
        <f t="shared" si="6"/>
        <v>0.95177003896418721</v>
      </c>
      <c r="M27" s="2">
        <f t="shared" si="6"/>
        <v>0.85360541611137875</v>
      </c>
      <c r="N27" s="2">
        <f t="shared" si="6"/>
        <v>0.76556539561558634</v>
      </c>
      <c r="O27" s="2">
        <f t="shared" si="6"/>
        <v>0.68660573597810426</v>
      </c>
      <c r="P27" s="2">
        <f t="shared" si="6"/>
        <v>0.61578989773821013</v>
      </c>
      <c r="Q27" s="2">
        <f t="shared" si="6"/>
        <v>0.55227793519121982</v>
      </c>
      <c r="R27" s="2">
        <f t="shared" si="6"/>
        <v>0.49531653380378454</v>
      </c>
      <c r="S27" s="2">
        <f t="shared" si="6"/>
        <v>0.44423007516034496</v>
      </c>
      <c r="T27" s="2">
        <f t="shared" si="6"/>
        <v>0.39841262346219281</v>
      </c>
      <c r="U27" s="1"/>
      <c r="V27" s="1"/>
    </row>
    <row r="28" spans="1:22" ht="20" customHeight="1">
      <c r="A28" s="1"/>
      <c r="B28" s="1"/>
      <c r="C28" s="1" t="s">
        <v>227</v>
      </c>
      <c r="D28" s="1"/>
      <c r="E28" s="2"/>
      <c r="F28" s="2">
        <f t="shared" ref="F28:T28" si="7">F21*(1-F24)*F26</f>
        <v>0</v>
      </c>
      <c r="G28" s="2">
        <f t="shared" si="7"/>
        <v>4.9007498750052579E-2</v>
      </c>
      <c r="H28" s="2">
        <f t="shared" si="7"/>
        <v>9.4500714177532391E-2</v>
      </c>
      <c r="I28" s="2">
        <f t="shared" si="7"/>
        <v>0.26897413701452494</v>
      </c>
      <c r="J28" s="2">
        <f t="shared" si="7"/>
        <v>0.20405328286488209</v>
      </c>
      <c r="K28" s="2">
        <f t="shared" si="7"/>
        <v>0.17104609466576648</v>
      </c>
      <c r="L28" s="2">
        <f t="shared" si="7"/>
        <v>0.19600205874962162</v>
      </c>
      <c r="M28" s="2">
        <f t="shared" si="7"/>
        <v>1.5955913975420051</v>
      </c>
      <c r="N28" s="2">
        <f t="shared" si="7"/>
        <v>2.3401995262783313</v>
      </c>
      <c r="O28" s="2">
        <f t="shared" si="7"/>
        <v>3.0666336907362868</v>
      </c>
      <c r="P28" s="2">
        <f t="shared" si="7"/>
        <v>3.7433177536086806</v>
      </c>
      <c r="Q28" s="2">
        <f t="shared" si="7"/>
        <v>4.015986830758381</v>
      </c>
      <c r="R28" s="2">
        <f t="shared" si="7"/>
        <v>4.1037441267222476</v>
      </c>
      <c r="S28" s="2">
        <f t="shared" si="7"/>
        <v>4.1306783340362623</v>
      </c>
      <c r="T28" s="2">
        <f t="shared" si="7"/>
        <v>4.10840238748305</v>
      </c>
      <c r="U28" s="1"/>
      <c r="V28" s="1"/>
    </row>
    <row r="29" spans="1:22" ht="20" customHeight="1">
      <c r="A29" s="1"/>
      <c r="B29" s="1"/>
      <c r="C29" s="1" t="s">
        <v>228</v>
      </c>
      <c r="D29" s="1"/>
      <c r="E29" s="2"/>
      <c r="F29" s="2">
        <f t="shared" ref="F29:T29" si="8">F21*(1-F25)*F27</f>
        <v>0</v>
      </c>
      <c r="G29" s="2">
        <f t="shared" si="8"/>
        <v>0</v>
      </c>
      <c r="H29" s="2">
        <f t="shared" si="8"/>
        <v>0</v>
      </c>
      <c r="I29" s="2">
        <f t="shared" si="8"/>
        <v>0</v>
      </c>
      <c r="J29" s="2">
        <f t="shared" si="8"/>
        <v>0</v>
      </c>
      <c r="K29" s="2">
        <f t="shared" si="8"/>
        <v>0.15570818047834026</v>
      </c>
      <c r="L29" s="2">
        <f t="shared" si="8"/>
        <v>0.2185422955058281</v>
      </c>
      <c r="M29" s="2">
        <f t="shared" si="8"/>
        <v>1.7790844082593356</v>
      </c>
      <c r="N29" s="2">
        <f t="shared" si="8"/>
        <v>2.6093224718003394</v>
      </c>
      <c r="O29" s="2">
        <f t="shared" si="8"/>
        <v>3.4192965651709595</v>
      </c>
      <c r="P29" s="2">
        <f t="shared" si="8"/>
        <v>4.1737992952736791</v>
      </c>
      <c r="Q29" s="2">
        <f t="shared" si="8"/>
        <v>4.4778253162955952</v>
      </c>
      <c r="R29" s="2">
        <f t="shared" si="8"/>
        <v>4.5756747012953056</v>
      </c>
      <c r="S29" s="2">
        <f t="shared" si="8"/>
        <v>4.6057063424504321</v>
      </c>
      <c r="T29" s="2">
        <f t="shared" si="8"/>
        <v>4.5808686620436001</v>
      </c>
      <c r="U29" s="1"/>
      <c r="V29" s="1"/>
    </row>
    <row r="30" spans="1:22" ht="20" customHeight="1">
      <c r="A30" s="1"/>
      <c r="B30" s="1"/>
      <c r="C30" s="1" t="s">
        <v>229</v>
      </c>
      <c r="D30" s="1"/>
      <c r="E30" s="2"/>
      <c r="F30" s="2">
        <f t="shared" ref="F30:T30" si="9">F23*F24</f>
        <v>-2.4831999999999799E-2</v>
      </c>
      <c r="G30" s="2">
        <f t="shared" si="9"/>
        <v>1.1266015123287707E-2</v>
      </c>
      <c r="H30" s="2">
        <f t="shared" si="9"/>
        <v>0</v>
      </c>
      <c r="I30" s="2">
        <f t="shared" si="9"/>
        <v>0</v>
      </c>
      <c r="J30" s="2">
        <f t="shared" si="9"/>
        <v>0</v>
      </c>
      <c r="K30" s="2">
        <f t="shared" si="9"/>
        <v>0</v>
      </c>
      <c r="L30" s="2">
        <f t="shared" si="9"/>
        <v>0</v>
      </c>
      <c r="M30" s="2">
        <f t="shared" si="9"/>
        <v>0</v>
      </c>
      <c r="N30" s="2">
        <f t="shared" si="9"/>
        <v>0</v>
      </c>
      <c r="O30" s="2">
        <f t="shared" si="9"/>
        <v>0</v>
      </c>
      <c r="P30" s="2">
        <f t="shared" si="9"/>
        <v>0</v>
      </c>
      <c r="Q30" s="2">
        <f t="shared" si="9"/>
        <v>0</v>
      </c>
      <c r="R30" s="2">
        <f t="shared" si="9"/>
        <v>0</v>
      </c>
      <c r="S30" s="2">
        <f t="shared" si="9"/>
        <v>0</v>
      </c>
      <c r="T30" s="2">
        <f t="shared" si="9"/>
        <v>0</v>
      </c>
      <c r="U30" s="1"/>
      <c r="V30" s="1"/>
    </row>
    <row r="31" spans="1:22" ht="20" customHeight="1">
      <c r="A31" s="1"/>
      <c r="B31" s="1"/>
      <c r="C31" s="1" t="s">
        <v>230</v>
      </c>
      <c r="D31" s="1"/>
      <c r="E31" s="2"/>
      <c r="F31" s="2">
        <f t="shared" ref="F31:T31" si="10">F23*F25</f>
        <v>-2.4831999999999799E-2</v>
      </c>
      <c r="G31" s="2">
        <f t="shared" si="10"/>
        <v>6.1374560000000189E-2</v>
      </c>
      <c r="H31" s="2">
        <f t="shared" si="10"/>
        <v>9.9289440000000062E-2</v>
      </c>
      <c r="I31" s="2">
        <f t="shared" si="10"/>
        <v>0.29040040000000034</v>
      </c>
      <c r="J31" s="2">
        <f t="shared" si="10"/>
        <v>0.2263856999999998</v>
      </c>
      <c r="K31" s="2">
        <f t="shared" si="10"/>
        <v>3.5794740821917914E-2</v>
      </c>
      <c r="L31" s="2">
        <f t="shared" si="10"/>
        <v>0</v>
      </c>
      <c r="M31" s="2">
        <f t="shared" si="10"/>
        <v>0</v>
      </c>
      <c r="N31" s="2">
        <f t="shared" si="10"/>
        <v>0</v>
      </c>
      <c r="O31" s="2">
        <f t="shared" si="10"/>
        <v>0</v>
      </c>
      <c r="P31" s="2">
        <f t="shared" si="10"/>
        <v>0</v>
      </c>
      <c r="Q31" s="2">
        <f t="shared" si="10"/>
        <v>0</v>
      </c>
      <c r="R31" s="2">
        <f t="shared" si="10"/>
        <v>0</v>
      </c>
      <c r="S31" s="2">
        <f t="shared" si="10"/>
        <v>0</v>
      </c>
      <c r="T31" s="2">
        <f t="shared" si="10"/>
        <v>0</v>
      </c>
      <c r="U31" s="1"/>
      <c r="V31" s="1"/>
    </row>
    <row r="32" spans="1:22" ht="20" customHeight="1">
      <c r="A32" s="1"/>
      <c r="B32" s="1"/>
      <c r="C32" s="1" t="s">
        <v>231</v>
      </c>
      <c r="D32" s="1"/>
      <c r="E32" s="2"/>
      <c r="F32" s="2">
        <f>F21-Statements!$E$32</f>
        <v>-1.0178320000000001</v>
      </c>
      <c r="G32" s="2">
        <f t="shared" ref="G32:T32" si="11">G21</f>
        <v>6.1374560000000189E-2</v>
      </c>
      <c r="H32" s="2">
        <f t="shared" si="11"/>
        <v>9.9289440000000062E-2</v>
      </c>
      <c r="I32" s="2">
        <f t="shared" si="11"/>
        <v>0.29040040000000034</v>
      </c>
      <c r="J32" s="2">
        <f t="shared" si="11"/>
        <v>0.2263856999999998</v>
      </c>
      <c r="K32" s="2">
        <f t="shared" si="11"/>
        <v>0.1950012000000001</v>
      </c>
      <c r="L32" s="2">
        <f t="shared" si="11"/>
        <v>0.22961670000000001</v>
      </c>
      <c r="M32" s="2">
        <f t="shared" si="11"/>
        <v>2.0842000000000001</v>
      </c>
      <c r="N32" s="2">
        <f t="shared" si="11"/>
        <v>3.4083599999999996</v>
      </c>
      <c r="O32" s="2">
        <f t="shared" si="11"/>
        <v>4.9800000000000004</v>
      </c>
      <c r="P32" s="2">
        <f t="shared" si="11"/>
        <v>6.7779600000000002</v>
      </c>
      <c r="Q32" s="2">
        <f t="shared" si="11"/>
        <v>8.10792</v>
      </c>
      <c r="R32" s="2">
        <f t="shared" si="11"/>
        <v>9.2378800000000005</v>
      </c>
      <c r="S32" s="2">
        <f t="shared" si="11"/>
        <v>10.367840000000003</v>
      </c>
      <c r="T32" s="2">
        <f t="shared" si="11"/>
        <v>11.4978</v>
      </c>
      <c r="U32" s="1"/>
      <c r="V32" s="1"/>
    </row>
    <row r="33" spans="1:22" ht="20" customHeight="1">
      <c r="A33" s="1"/>
      <c r="B33" s="1"/>
      <c r="C33" s="1" t="s">
        <v>232</v>
      </c>
      <c r="D33" s="1"/>
      <c r="E33" s="2"/>
      <c r="F33" s="2">
        <f t="shared" ref="F33:T33" si="12">F32*(F24+(1-F24)*F26)</f>
        <v>-1.0178320000000001</v>
      </c>
      <c r="G33" s="2">
        <f t="shared" si="12"/>
        <v>6.027351387334029E-2</v>
      </c>
      <c r="H33" s="2">
        <f t="shared" si="12"/>
        <v>9.4500714177532391E-2</v>
      </c>
      <c r="I33" s="2">
        <f t="shared" si="12"/>
        <v>0.26897413701452494</v>
      </c>
      <c r="J33" s="2">
        <f t="shared" si="12"/>
        <v>0.20405328286488209</v>
      </c>
      <c r="K33" s="2">
        <f t="shared" si="12"/>
        <v>0.17104609466576648</v>
      </c>
      <c r="L33" s="2">
        <f t="shared" si="12"/>
        <v>0.19600205874962162</v>
      </c>
      <c r="M33" s="2">
        <f t="shared" si="12"/>
        <v>1.5955913975420051</v>
      </c>
      <c r="N33" s="2">
        <f t="shared" si="12"/>
        <v>2.3401995262783313</v>
      </c>
      <c r="O33" s="2">
        <f t="shared" si="12"/>
        <v>3.0666336907362868</v>
      </c>
      <c r="P33" s="2">
        <f t="shared" si="12"/>
        <v>3.7433177536086806</v>
      </c>
      <c r="Q33" s="2">
        <f t="shared" si="12"/>
        <v>4.015986830758381</v>
      </c>
      <c r="R33" s="2">
        <f t="shared" si="12"/>
        <v>4.1037441267222476</v>
      </c>
      <c r="S33" s="2">
        <f t="shared" si="12"/>
        <v>4.1306783340362623</v>
      </c>
      <c r="T33" s="2">
        <f t="shared" si="12"/>
        <v>4.10840238748305</v>
      </c>
      <c r="U33" s="1"/>
      <c r="V33" s="1"/>
    </row>
    <row r="34" spans="1:22" ht="20" customHeight="1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</row>
    <row r="35" spans="1:22" ht="20" customHeight="1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</row>
    <row r="36" spans="1:22" ht="20" customHeight="1">
      <c r="A36" s="1"/>
      <c r="B36" s="1"/>
      <c r="C36" s="1" t="s">
        <v>233</v>
      </c>
      <c r="D36" s="1"/>
      <c r="E36" s="2">
        <f>Statements!T17*(1-Assumptions!E36)</f>
        <v>14.1778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</row>
    <row r="37" spans="1:22" ht="20" customHeight="1">
      <c r="A37" s="1"/>
      <c r="B37" s="1"/>
      <c r="C37" s="1" t="s">
        <v>234</v>
      </c>
      <c r="D37" s="1"/>
      <c r="E37" s="4">
        <f>E6/Assumptions!E17</f>
        <v>0.1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"/>
      <c r="V37" s="1"/>
    </row>
    <row r="38" spans="1:22" ht="20" customHeight="1">
      <c r="A38" s="1"/>
      <c r="B38" s="1"/>
      <c r="C38" s="1" t="s">
        <v>235</v>
      </c>
      <c r="D38" s="1"/>
      <c r="E38" s="2">
        <f>E36*(1+E6)*(1-E37)</f>
        <v>13.1428206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</row>
    <row r="39" spans="1:22" ht="20" customHeight="1">
      <c r="A39" s="1"/>
      <c r="B39" s="1"/>
      <c r="C39" s="1" t="s">
        <v>236</v>
      </c>
      <c r="D39" s="1"/>
      <c r="E39" s="2">
        <f>E38/(E5-E6)</f>
        <v>154.62141882352941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</row>
    <row r="40" spans="1:22" ht="20" customHeight="1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</row>
    <row r="41" spans="1:22" ht="20" customHeight="1">
      <c r="A41" s="1"/>
      <c r="B41" s="1"/>
      <c r="C41" s="1" t="s">
        <v>237</v>
      </c>
      <c r="D41" s="1"/>
      <c r="E41" s="2">
        <f>SUM(F28:T28)</f>
        <v>28.088137833387623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</row>
    <row r="42" spans="1:22" ht="20" customHeight="1">
      <c r="A42" s="1"/>
      <c r="B42" s="1"/>
      <c r="C42" s="1" t="s">
        <v>238</v>
      </c>
      <c r="D42" s="1"/>
      <c r="E42" s="2">
        <f>E39/(1+E5)^(T20-E8)</f>
        <v>55.249439566752315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</row>
    <row r="43" spans="1:22" ht="20" customHeight="1">
      <c r="A43" s="1"/>
      <c r="B43" s="1"/>
      <c r="C43" s="1" t="s">
        <v>239</v>
      </c>
      <c r="D43" s="1"/>
      <c r="E43" s="2">
        <f>SUM(E41:E42)</f>
        <v>83.337577400139935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</row>
    <row r="44" spans="1:22" ht="20" customHeight="1">
      <c r="A44" s="1"/>
      <c r="B44" s="1"/>
      <c r="C44" s="1" t="s">
        <v>240</v>
      </c>
      <c r="D44" s="1"/>
      <c r="E44" s="2">
        <f>E10-E11+SUM(F30:T30)</f>
        <v>3.6094340151232878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</row>
    <row r="45" spans="1:22" ht="20" customHeight="1">
      <c r="A45" s="1"/>
      <c r="B45" s="1"/>
      <c r="C45" s="1" t="s">
        <v>241</v>
      </c>
      <c r="D45" s="1"/>
      <c r="E45" s="2">
        <f>SUM(E43:E44,E13)-E12</f>
        <v>87.241511415263219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</row>
    <row r="46" spans="1:22" ht="20" customHeight="1">
      <c r="A46" s="1"/>
      <c r="B46" s="1"/>
      <c r="C46" s="1" t="s">
        <v>7</v>
      </c>
      <c r="D46" s="1"/>
      <c r="E46" s="6">
        <f>E45/E14</f>
        <v>80.779177236354826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</row>
    <row r="47" spans="1:22" ht="20" customHeight="1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</row>
    <row r="48" spans="1:22" ht="20" customHeight="1">
      <c r="A48" s="1"/>
      <c r="B48" s="1"/>
      <c r="C48" s="1" t="s">
        <v>242</v>
      </c>
      <c r="D48" s="1"/>
      <c r="E48" s="2">
        <f>SUM(F29:T29)</f>
        <v>30.595828238573411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</row>
    <row r="49" spans="1:22" ht="20" customHeight="1">
      <c r="A49" s="1"/>
      <c r="B49" s="1"/>
      <c r="C49" s="1" t="s">
        <v>243</v>
      </c>
      <c r="D49" s="1"/>
      <c r="E49" s="2">
        <f>E39/(1+E5)^(T20-E9)</f>
        <v>61.60312511692883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</row>
    <row r="50" spans="1:22" ht="20" customHeight="1">
      <c r="A50" s="1"/>
      <c r="B50" s="1"/>
      <c r="C50" s="1" t="s">
        <v>244</v>
      </c>
      <c r="D50" s="1"/>
      <c r="E50" s="2">
        <f>SUM(E48:E49)</f>
        <v>92.19895335550224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</row>
    <row r="51" spans="1:22" ht="20" customHeight="1">
      <c r="A51" s="1"/>
      <c r="B51" s="1"/>
      <c r="C51" s="1" t="s">
        <v>245</v>
      </c>
      <c r="D51" s="1"/>
      <c r="E51" s="2">
        <f>E10-E11+SUM(F31:T31)</f>
        <v>4.3114128408219186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</row>
    <row r="52" spans="1:22" ht="20" customHeight="1">
      <c r="A52" s="1"/>
      <c r="B52" s="1"/>
      <c r="C52" s="1" t="s">
        <v>246</v>
      </c>
      <c r="D52" s="1"/>
      <c r="E52" s="2">
        <f>SUM(E50:E51,E13)-E12</f>
        <v>96.804866196324156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</row>
    <row r="53" spans="1:22" ht="20" customHeight="1">
      <c r="A53" s="1"/>
      <c r="B53" s="1"/>
      <c r="C53" s="1" t="s">
        <v>8</v>
      </c>
      <c r="D53" s="1"/>
      <c r="E53" s="6">
        <f>E52/E14</f>
        <v>89.634135366966802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</row>
    <row r="54" spans="1:22" ht="20" customHeight="1">
      <c r="A54" s="1"/>
      <c r="B54" s="1"/>
      <c r="C54" s="1" t="s">
        <v>247</v>
      </c>
      <c r="D54" s="1"/>
      <c r="E54" s="4">
        <f>E49/E50</f>
        <v>0.66815427805778327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</row>
    <row r="55" spans="1:22" ht="20" customHeight="1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</row>
    <row r="56" spans="1:22" ht="20" customHeight="1">
      <c r="A56" s="1"/>
      <c r="B56" s="1"/>
      <c r="C56" s="1" t="s">
        <v>248</v>
      </c>
      <c r="D56" s="1"/>
      <c r="E56" s="2">
        <f>SUM(F33:T33)+E42</f>
        <v>82.33101141526322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</row>
    <row r="57" spans="1:22" ht="20" customHeight="1">
      <c r="A57" s="1"/>
      <c r="B57" s="1"/>
      <c r="C57" s="1" t="s">
        <v>13</v>
      </c>
      <c r="D57" s="1"/>
      <c r="E57" s="2">
        <f>1+(Assumptions!E8*E14-E45)/E56</f>
        <v>2.9285866389259541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</row>
    <row r="58" spans="1:22" ht="20" customHeight="1">
      <c r="A58" s="1"/>
      <c r="B58" s="1"/>
      <c r="C58" s="1" t="s">
        <v>249</v>
      </c>
      <c r="D58" s="1"/>
      <c r="E58" s="2">
        <f>Operating!I13*E57</f>
        <v>73.214665973148854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</row>
    <row r="59" spans="1:22" ht="20" customHeight="1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</row>
    <row r="60" spans="1:22" ht="20" customHeight="1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</row>
    <row r="61" spans="1:22" ht="21" customHeight="1">
      <c r="A61" s="1"/>
      <c r="B61" s="1"/>
      <c r="C61" s="1" t="s">
        <v>250</v>
      </c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</row>
    <row r="62" spans="1:22" ht="21" customHeight="1">
      <c r="A62" s="1"/>
      <c r="B62" s="1"/>
      <c r="C62" s="1" t="s">
        <v>251</v>
      </c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</row>
    <row r="63" spans="1:22" ht="21" customHeight="1">
      <c r="A63" s="1"/>
      <c r="B63" s="1"/>
      <c r="C63" s="1" t="s">
        <v>252</v>
      </c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</row>
    <row r="64" spans="1:22" ht="21" customHeight="1">
      <c r="A64" s="1"/>
      <c r="B64" s="1"/>
      <c r="C64" s="1" t="s">
        <v>253</v>
      </c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</row>
    <row r="65" spans="1:22" ht="21" customHeight="1">
      <c r="A65" s="1"/>
      <c r="B65" s="1"/>
      <c r="C65" s="1" t="s">
        <v>254</v>
      </c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</row>
    <row r="66" spans="1:22" ht="20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</row>
    <row r="67" spans="1:22" ht="20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</row>
    <row r="68" spans="1:22" ht="20" customHeight="1">
      <c r="A68" s="1"/>
      <c r="B68" s="1"/>
      <c r="C68" s="7" t="s">
        <v>255</v>
      </c>
      <c r="D68" s="7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</row>
    <row r="69" spans="1:22" ht="20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</row>
    <row r="70" spans="1:22" ht="20" customHeight="1">
      <c r="A70" s="1"/>
      <c r="B70" s="1"/>
      <c r="C70" s="1"/>
      <c r="D70" s="1"/>
      <c r="E70" s="2">
        <f>E53</f>
        <v>89.634135366966802</v>
      </c>
      <c r="F70" s="4">
        <v>0.02</v>
      </c>
      <c r="G70" s="4">
        <v>0.03</v>
      </c>
      <c r="H70" s="4">
        <v>0.04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</row>
    <row r="71" spans="1:22" ht="20" customHeight="1">
      <c r="A71" s="1"/>
      <c r="B71" s="1"/>
      <c r="C71" s="1"/>
      <c r="D71" s="1"/>
      <c r="E71" s="4">
        <v>0.09</v>
      </c>
      <c r="F71" s="6">
        <f t="dataTable" ref="F71:H74" dt2D="1" dtr="0" r1="E6" r2="E5"/>
        <v>122.51656214943587</v>
      </c>
      <c r="G71" s="6">
        <v>134.23714214701596</v>
      </c>
      <c r="H71" s="6">
        <v>150.56148149499688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</row>
    <row r="72" spans="1:22" ht="20" customHeight="1">
      <c r="A72" s="1"/>
      <c r="B72" s="1"/>
      <c r="C72" s="1"/>
      <c r="D72" s="1"/>
      <c r="E72" s="4">
        <v>0.1</v>
      </c>
      <c r="F72" s="6">
        <v>104.56483143688222</v>
      </c>
      <c r="G72" s="6">
        <v>112.44030371737021</v>
      </c>
      <c r="H72" s="6">
        <v>122.8757699424613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</row>
    <row r="73" spans="1:22" ht="20" customHeight="1">
      <c r="A73" s="1"/>
      <c r="B73" s="1"/>
      <c r="C73" s="1"/>
      <c r="D73" s="1"/>
      <c r="E73" s="4">
        <v>0.115</v>
      </c>
      <c r="F73" s="6">
        <v>85.006300193026931</v>
      </c>
      <c r="G73" s="6">
        <v>89.634135366966802</v>
      </c>
      <c r="H73" s="6">
        <v>95.449569266361223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</row>
    <row r="74" spans="1:22" ht="20" customHeight="1">
      <c r="A74" s="1"/>
      <c r="B74" s="1"/>
      <c r="C74" s="1"/>
      <c r="D74" s="1"/>
      <c r="E74" s="4">
        <v>0.13</v>
      </c>
      <c r="F74" s="6">
        <v>71.047341968753912</v>
      </c>
      <c r="G74" s="6">
        <v>73.922423041871781</v>
      </c>
      <c r="H74" s="6">
        <v>77.401807494984141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</row>
    <row r="75" spans="1:22" ht="20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</row>
    <row r="76" spans="1:22" ht="20" customHeight="1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</row>
    <row r="77" spans="1:22" ht="21" customHeight="1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</row>
    <row r="78" spans="1:22" ht="21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</row>
    <row r="79" spans="1:22" ht="20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</row>
    <row r="80" spans="1:22" ht="20" customHeight="1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</row>
    <row r="81" spans="1:22" ht="20" customHeight="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</row>
    <row r="82" spans="1:22" ht="20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</row>
    <row r="83" spans="1:22" ht="20" customHeight="1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</row>
    <row r="84" spans="1:22" ht="20" customHeight="1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</row>
    <row r="85" spans="1:22" ht="20" customHeight="1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</row>
    <row r="86" spans="1:22" ht="20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</row>
    <row r="87" spans="1:22" ht="20" customHeight="1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</row>
    <row r="88" spans="1:22" ht="20" customHeight="1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</row>
    <row r="89" spans="1:22" ht="20" customHeight="1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</row>
    <row r="90" spans="1:22" ht="20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</row>
    <row r="91" spans="1:22" ht="20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</row>
    <row r="92" spans="1:22" ht="20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</row>
    <row r="93" spans="1:22" ht="20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</row>
    <row r="94" spans="1:22" ht="20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</row>
    <row r="95" spans="1:22" ht="20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</row>
    <row r="96" spans="1:22" ht="20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</row>
    <row r="97" spans="1:22" ht="20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</row>
    <row r="98" spans="1:22" ht="20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</row>
    <row r="99" spans="1:22" ht="20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</row>
    <row r="100" spans="1:22" ht="20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</row>
    <row r="101" spans="1:22" ht="20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</row>
    <row r="102" spans="1:22" ht="20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</row>
    <row r="103" spans="1:22" ht="20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</row>
    <row r="104" spans="1:22" ht="20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</row>
    <row r="105" spans="1:22" ht="20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</row>
    <row r="106" spans="1:22" ht="20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</row>
    <row r="107" spans="1:22" ht="20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</row>
    <row r="108" spans="1:22" ht="20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</row>
    <row r="109" spans="1:22" ht="20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</row>
    <row r="110" spans="1:22" ht="20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</row>
    <row r="111" spans="1:22" ht="20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</row>
    <row r="112" spans="1:22" ht="20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</row>
    <row r="113" spans="1:22" ht="20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</row>
    <row r="114" spans="1:22" ht="20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</row>
    <row r="115" spans="1:22" ht="20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</row>
    <row r="116" spans="1:22" ht="20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</row>
    <row r="117" spans="1:22" ht="20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</row>
    <row r="118" spans="1:22" ht="20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</row>
    <row r="119" spans="1:22" ht="20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</row>
    <row r="120" spans="1:22" ht="20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</row>
    <row r="121" spans="1:22" ht="20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</row>
    <row r="122" spans="1:22" ht="20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</row>
    <row r="123" spans="1:22" ht="20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</row>
    <row r="124" spans="1:22" ht="20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</row>
    <row r="125" spans="1:22" ht="20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</row>
    <row r="126" spans="1:22" ht="20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</row>
    <row r="127" spans="1:22" ht="20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</row>
    <row r="128" spans="1:22" ht="20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</row>
    <row r="129" spans="1:22" ht="20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</row>
    <row r="130" spans="1:22" ht="20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</row>
    <row r="131" spans="1:22" ht="20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</row>
    <row r="132" spans="1:22" ht="20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</row>
    <row r="133" spans="1:22" ht="20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</row>
    <row r="134" spans="1:22" ht="20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</row>
    <row r="135" spans="1:22" ht="20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</row>
    <row r="136" spans="1:22" ht="20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</row>
    <row r="137" spans="1:22" ht="20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</row>
    <row r="138" spans="1:22" ht="20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</row>
    <row r="139" spans="1:22" ht="20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</row>
    <row r="140" spans="1:22" ht="20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</row>
    <row r="141" spans="1:22" ht="20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</row>
    <row r="142" spans="1:22" ht="20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</row>
    <row r="143" spans="1:22" ht="20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</row>
    <row r="144" spans="1:22" ht="20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</row>
    <row r="145" spans="1:22" ht="20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</row>
    <row r="146" spans="1:22" ht="20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</row>
    <row r="147" spans="1:22" ht="20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</row>
    <row r="148" spans="1:22" ht="20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</row>
    <row r="149" spans="1:22" ht="20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85"/>
  <sheetViews>
    <sheetView showGridLines="0" workbookViewId="0">
      <pane xSplit="4" ySplit="7" topLeftCell="E32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9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256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3" t="s">
        <v>257</v>
      </c>
      <c r="D7" s="13" t="s">
        <v>258</v>
      </c>
      <c r="E7" s="12" t="s">
        <v>259</v>
      </c>
      <c r="F7" s="12" t="s">
        <v>260</v>
      </c>
      <c r="G7" s="12" t="s">
        <v>261</v>
      </c>
      <c r="H7" s="12" t="s">
        <v>262</v>
      </c>
      <c r="I7" s="12" t="s">
        <v>263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20" customHeight="1">
      <c r="A8" s="1"/>
      <c r="B8" s="1"/>
      <c r="C8" s="1" t="str">
        <f>Sources!C31</f>
        <v>Arm</v>
      </c>
      <c r="D8" s="1" t="str">
        <f>Sources!D31</f>
        <v>ARM</v>
      </c>
      <c r="E8" s="6">
        <f>Sources!E31</f>
        <v>227.8</v>
      </c>
      <c r="F8" s="6">
        <f>Sources!F31</f>
        <v>3.06</v>
      </c>
      <c r="G8" s="9">
        <f>Sources!G31</f>
        <v>46843</v>
      </c>
      <c r="H8" s="10">
        <f>E8/F8</f>
        <v>74.444444444444443</v>
      </c>
      <c r="I8" s="2" t="s">
        <v>264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</row>
    <row r="9" spans="1:22" ht="20" customHeight="1">
      <c r="A9" s="1"/>
      <c r="B9" s="1"/>
      <c r="C9" s="1" t="str">
        <f>Sources!C32</f>
        <v>AMD</v>
      </c>
      <c r="D9" s="1" t="str">
        <f>Sources!D32</f>
        <v>AMD</v>
      </c>
      <c r="E9" s="6">
        <f>Sources!E32</f>
        <v>528.75</v>
      </c>
      <c r="F9" s="6">
        <f>Sources!F32</f>
        <v>15.76</v>
      </c>
      <c r="G9" s="9">
        <f>Sources!G32</f>
        <v>46752</v>
      </c>
      <c r="H9" s="10">
        <f>E9/F9</f>
        <v>33.550126903553299</v>
      </c>
      <c r="I9" s="2" t="s">
        <v>265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</row>
    <row r="10" spans="1:22" ht="20" customHeight="1">
      <c r="A10" s="1"/>
      <c r="B10" s="1"/>
      <c r="C10" s="1" t="str">
        <f>Sources!C33</f>
        <v>Cadence</v>
      </c>
      <c r="D10" s="1" t="str">
        <f>Sources!D33</f>
        <v>CDNS</v>
      </c>
      <c r="E10" s="6">
        <f>Sources!E33</f>
        <v>319.51</v>
      </c>
      <c r="F10" s="6">
        <f>Sources!F33</f>
        <v>9.57</v>
      </c>
      <c r="G10" s="9">
        <f>Sources!G33</f>
        <v>46752</v>
      </c>
      <c r="H10" s="10">
        <f>E10/F10</f>
        <v>33.386624869383489</v>
      </c>
      <c r="I10" s="2" t="s">
        <v>266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</row>
    <row r="11" spans="1:22" ht="20" customHeight="1">
      <c r="A11" s="1"/>
      <c r="B11" s="1"/>
      <c r="C11" s="1" t="str">
        <f>Sources!C34</f>
        <v>Synopsys</v>
      </c>
      <c r="D11" s="1" t="str">
        <f>Sources!D34</f>
        <v>SNPS</v>
      </c>
      <c r="E11" s="6">
        <f>Sources!E34</f>
        <v>454.63</v>
      </c>
      <c r="F11" s="6">
        <f>Sources!F34</f>
        <v>18.670000000000002</v>
      </c>
      <c r="G11" s="9">
        <f>Sources!G34</f>
        <v>46691</v>
      </c>
      <c r="H11" s="10">
        <f>E11/F11</f>
        <v>24.350830208891267</v>
      </c>
      <c r="I11" s="2" t="s">
        <v>266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</row>
    <row r="12" spans="1:22" ht="20" customHeight="1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20" customHeight="1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</row>
    <row r="14" spans="1:22" ht="20" customHeight="1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</row>
    <row r="15" spans="1:22" ht="20" customHeight="1">
      <c r="A15" s="1"/>
      <c r="B15" s="1"/>
      <c r="C15" s="1" t="s">
        <v>267</v>
      </c>
      <c r="D15" s="1"/>
      <c r="E15" s="6">
        <f>Sources!E18</f>
        <v>3.06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</row>
    <row r="16" spans="1:22" ht="20" customHeight="1">
      <c r="A16" s="1"/>
      <c r="B16" s="1"/>
      <c r="C16" s="1" t="s">
        <v>268</v>
      </c>
      <c r="D16" s="1"/>
      <c r="E16" s="2">
        <f>Assumptions!E31</f>
        <v>40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20" customHeight="1">
      <c r="A17" s="1"/>
      <c r="B17" s="1"/>
      <c r="C17" s="1" t="s">
        <v>269</v>
      </c>
      <c r="D17" s="1"/>
      <c r="E17" s="6">
        <f>E15*E16</f>
        <v>122.4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"/>
      <c r="V17" s="1"/>
    </row>
    <row r="18" spans="1:22" ht="20" customHeight="1">
      <c r="A18" s="1"/>
      <c r="B18" s="1"/>
      <c r="C18" s="1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"/>
      <c r="V18" s="1"/>
    </row>
    <row r="19" spans="1:22" ht="20" customHeight="1">
      <c r="A19" s="1"/>
      <c r="B19" s="1"/>
      <c r="C19" s="1" t="s">
        <v>270</v>
      </c>
      <c r="D19" s="1"/>
      <c r="E19" s="6">
        <f>Operating!F32</f>
        <v>2.8403888888888891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"/>
      <c r="V19" s="1"/>
    </row>
    <row r="20" spans="1:22" ht="20" customHeight="1">
      <c r="A20" s="1"/>
      <c r="B20" s="1"/>
      <c r="C20" s="1" t="s">
        <v>271</v>
      </c>
      <c r="D20" s="1"/>
      <c r="E20" s="2">
        <f>Assumptions!E32</f>
        <v>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"/>
      <c r="V20" s="1"/>
    </row>
    <row r="21" spans="1:22" ht="20" customHeight="1">
      <c r="A21" s="1"/>
      <c r="B21" s="1"/>
      <c r="C21" s="1" t="s">
        <v>272</v>
      </c>
      <c r="D21" s="1"/>
      <c r="E21" s="6">
        <f>E19*E20</f>
        <v>127.81750000000001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/>
      <c r="V21" s="1"/>
    </row>
    <row r="22" spans="1:22" ht="20" customHeight="1">
      <c r="A22" s="1"/>
      <c r="B22" s="1"/>
      <c r="C22" s="1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  <c r="V22" s="1"/>
    </row>
    <row r="23" spans="1:22" ht="20" customHeight="1">
      <c r="A23" s="1"/>
      <c r="B23" s="1"/>
      <c r="C23" s="1" t="s">
        <v>273</v>
      </c>
      <c r="D23" s="1"/>
      <c r="E23" s="6">
        <f>ROUND(AVERAGE(E17,E21),0)</f>
        <v>125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"/>
      <c r="V23" s="1"/>
    </row>
    <row r="24" spans="1:22" ht="20" customHeight="1">
      <c r="A24" s="1"/>
      <c r="B24" s="1"/>
      <c r="C24" s="1" t="s">
        <v>4</v>
      </c>
      <c r="D24" s="1"/>
      <c r="E24" s="4">
        <f>1-E23/Assumptions!E8</f>
        <v>0.4512730465320457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"/>
      <c r="V24" s="1"/>
    </row>
    <row r="25" spans="1:22" ht="20" customHeight="1">
      <c r="A25" s="1"/>
      <c r="B25" s="1"/>
      <c r="C25" s="1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</row>
    <row r="26" spans="1:22" ht="20" customHeight="1">
      <c r="A26" s="1"/>
      <c r="B26" s="1"/>
      <c r="C26" s="1" t="s">
        <v>274</v>
      </c>
      <c r="D26" s="1"/>
      <c r="E26" s="2">
        <f>AVERAGE(H9:H10)</f>
        <v>33.468375886468394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"/>
      <c r="V26" s="1"/>
    </row>
    <row r="27" spans="1:22" ht="20" customHeight="1">
      <c r="A27" s="1"/>
      <c r="B27" s="1"/>
      <c r="C27" s="1" t="s">
        <v>275</v>
      </c>
      <c r="D27" s="1"/>
      <c r="E27" s="4">
        <f>E16/E26-1</f>
        <v>0.19515808402798562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"/>
      <c r="V27" s="1"/>
    </row>
    <row r="28" spans="1:22" ht="20" customHeight="1">
      <c r="A28" s="1"/>
      <c r="B28" s="1"/>
      <c r="C28" s="1" t="s">
        <v>276</v>
      </c>
      <c r="D28" s="1"/>
      <c r="E28" s="4">
        <f>E20/E26-1</f>
        <v>0.34455284453148383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"/>
      <c r="V28" s="1"/>
    </row>
    <row r="29" spans="1:22" ht="20" customHeight="1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"/>
      <c r="V29" s="1"/>
    </row>
    <row r="30" spans="1:22" ht="20" customHeight="1">
      <c r="A30" s="1"/>
      <c r="B30" s="1"/>
      <c r="C30" s="1" t="s">
        <v>277</v>
      </c>
      <c r="D30" s="1"/>
      <c r="E30" s="2">
        <v>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</row>
    <row r="31" spans="1:22" ht="20" customHeight="1">
      <c r="A31" s="1"/>
      <c r="B31" s="1"/>
      <c r="C31" s="1" t="s">
        <v>278</v>
      </c>
      <c r="D31" s="1"/>
      <c r="E31" s="2">
        <v>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</row>
    <row r="32" spans="1:22" ht="20" customHeight="1">
      <c r="A32" s="1"/>
      <c r="B32" s="1"/>
      <c r="C32" s="1" t="s">
        <v>279</v>
      </c>
      <c r="D32" s="1"/>
      <c r="E32" s="2">
        <f>(DATE(2031,3,31)-Assumptions!E10)/365</f>
        <v>3.4575342465753423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"/>
      <c r="V32" s="1"/>
    </row>
    <row r="33" spans="1:22" ht="20" customHeight="1">
      <c r="A33" s="1"/>
      <c r="B33" s="1"/>
      <c r="C33" s="1" t="s">
        <v>280</v>
      </c>
      <c r="D33" s="1"/>
      <c r="E33" s="6">
        <f>E30*E31/(1+DCF!E5)^E32</f>
        <v>247.08593684738761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"/>
      <c r="V33" s="1"/>
    </row>
    <row r="34" spans="1:22" ht="20" customHeight="1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</row>
    <row r="35" spans="1:22" ht="20" customHeight="1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</row>
    <row r="36" spans="1:22" ht="21" customHeight="1">
      <c r="A36" s="1"/>
      <c r="B36" s="1"/>
      <c r="C36" s="1" t="s">
        <v>281</v>
      </c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</row>
    <row r="37" spans="1:22" ht="21" customHeight="1">
      <c r="A37" s="1"/>
      <c r="B37" s="1"/>
      <c r="C37" s="1" t="s">
        <v>282</v>
      </c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"/>
      <c r="V37" s="1"/>
    </row>
    <row r="38" spans="1:22" ht="21" customHeight="1">
      <c r="A38" s="1"/>
      <c r="B38" s="1"/>
      <c r="C38" s="1" t="s">
        <v>283</v>
      </c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</row>
    <row r="39" spans="1:22" ht="21" customHeight="1">
      <c r="A39" s="1"/>
      <c r="B39" s="1"/>
      <c r="C39" s="1" t="s">
        <v>284</v>
      </c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</row>
    <row r="40" spans="1:22" ht="20" customHeight="1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</row>
    <row r="41" spans="1:22" ht="20" customHeight="1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</row>
    <row r="42" spans="1:22" ht="20" customHeight="1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</row>
    <row r="43" spans="1:22" ht="20" customHeight="1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</row>
    <row r="44" spans="1:22" ht="20" customHeight="1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</row>
    <row r="45" spans="1:22" ht="20" customHeight="1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</row>
    <row r="46" spans="1:22" ht="20" customHeight="1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</row>
    <row r="47" spans="1:22" ht="20" customHeight="1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</row>
    <row r="48" spans="1:22" ht="20" customHeight="1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</row>
    <row r="49" spans="1:22" ht="20" customHeight="1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</row>
    <row r="50" spans="1:22" ht="20" customHeight="1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</row>
    <row r="51" spans="1:22" ht="20" customHeight="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</row>
    <row r="52" spans="1:22" ht="20" customHeight="1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</row>
    <row r="53" spans="1:22" ht="20" customHeight="1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</row>
    <row r="54" spans="1:22" ht="20" customHeight="1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</row>
    <row r="55" spans="1:22" ht="20" customHeight="1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</row>
    <row r="56" spans="1:22" ht="20" customHeight="1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</row>
    <row r="57" spans="1:22" ht="20" customHeight="1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</row>
    <row r="58" spans="1:22" ht="20" customHeight="1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</row>
    <row r="59" spans="1:22" ht="20" customHeight="1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</row>
    <row r="60" spans="1:22" ht="20" customHeight="1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</row>
    <row r="61" spans="1:22" ht="20" customHeight="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</row>
    <row r="62" spans="1:22" ht="20" customHeight="1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</row>
    <row r="63" spans="1:22" ht="20" customHeight="1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</row>
    <row r="64" spans="1:22" ht="20" customHeight="1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</row>
    <row r="65" spans="1:22" ht="20" customHeight="1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</row>
    <row r="66" spans="1:22" ht="20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</row>
    <row r="67" spans="1:22" ht="20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</row>
    <row r="68" spans="1:22" ht="20" customHeight="1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</row>
    <row r="69" spans="1:22" ht="20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</row>
    <row r="70" spans="1:22" ht="20" customHeight="1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</row>
    <row r="71" spans="1:22" ht="20" customHeight="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</row>
    <row r="72" spans="1:22" ht="20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</row>
    <row r="73" spans="1:22" ht="20" customHeight="1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</row>
    <row r="74" spans="1:22" ht="20" customHeight="1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</row>
    <row r="75" spans="1:22" ht="20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</row>
    <row r="76" spans="1:22" ht="20" customHeight="1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</row>
    <row r="77" spans="1:22" ht="20" customHeight="1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</row>
    <row r="78" spans="1:22" ht="20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</row>
    <row r="79" spans="1:22" ht="20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</row>
    <row r="80" spans="1:22" ht="20" customHeight="1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</row>
    <row r="81" spans="1:22" ht="20" customHeight="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</row>
    <row r="82" spans="1:22" ht="20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</row>
    <row r="83" spans="1:22" ht="20" customHeight="1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</row>
    <row r="84" spans="1:22" ht="20" customHeight="1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</row>
    <row r="85" spans="1:22" ht="20" customHeight="1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</row>
    <row r="86" spans="1:22" ht="20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</row>
    <row r="87" spans="1:22" ht="20" customHeight="1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</row>
    <row r="88" spans="1:22" ht="20" customHeight="1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</row>
    <row r="89" spans="1:22" ht="20" customHeight="1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</row>
    <row r="90" spans="1:22" ht="20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</row>
    <row r="91" spans="1:22" ht="20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</row>
    <row r="92" spans="1:22" ht="20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</row>
    <row r="93" spans="1:22" ht="20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</row>
    <row r="94" spans="1:22" ht="20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</row>
    <row r="95" spans="1:22" ht="20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</row>
    <row r="96" spans="1:22" ht="20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</row>
    <row r="97" spans="1:22" ht="20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</row>
    <row r="98" spans="1:22" ht="20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</row>
    <row r="99" spans="1:22" ht="20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</row>
    <row r="100" spans="1:22" ht="20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</row>
    <row r="101" spans="1:22" ht="20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</row>
    <row r="102" spans="1:22" ht="20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</row>
    <row r="103" spans="1:22" ht="20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</row>
    <row r="104" spans="1:22" ht="20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</row>
    <row r="105" spans="1:22" ht="20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</row>
    <row r="106" spans="1:22" ht="20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</row>
    <row r="107" spans="1:22" ht="20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</row>
    <row r="108" spans="1:22" ht="20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</row>
    <row r="109" spans="1:22" ht="20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</row>
    <row r="110" spans="1:22" ht="20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</row>
    <row r="111" spans="1:22" ht="20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</row>
    <row r="112" spans="1:22" ht="20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</row>
    <row r="113" spans="1:22" ht="20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</row>
    <row r="114" spans="1:22" ht="20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</row>
    <row r="115" spans="1:22" ht="20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</row>
    <row r="116" spans="1:22" ht="20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</row>
    <row r="117" spans="1:22" ht="20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</row>
    <row r="118" spans="1:22" ht="20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</row>
    <row r="119" spans="1:22" ht="20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</row>
    <row r="120" spans="1:22" ht="20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</row>
    <row r="121" spans="1:22" ht="20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</row>
    <row r="122" spans="1:22" ht="20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</row>
    <row r="123" spans="1:22" ht="20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</row>
    <row r="124" spans="1:22" ht="20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</row>
    <row r="125" spans="1:22" ht="20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</row>
    <row r="126" spans="1:22" ht="20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</row>
    <row r="127" spans="1:22" ht="20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</row>
    <row r="128" spans="1:22" ht="20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</row>
    <row r="129" spans="1:22" ht="20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</row>
    <row r="130" spans="1:22" ht="20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</row>
    <row r="131" spans="1:22" ht="20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</row>
    <row r="132" spans="1:22" ht="20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</row>
    <row r="133" spans="1:22" ht="20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</row>
    <row r="134" spans="1:22" ht="20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</row>
    <row r="135" spans="1:22" ht="20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</row>
    <row r="136" spans="1:22" ht="20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</row>
    <row r="137" spans="1:22" ht="20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</row>
    <row r="138" spans="1:22" ht="20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</row>
    <row r="139" spans="1:22" ht="20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</row>
    <row r="140" spans="1:22" ht="20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</row>
    <row r="141" spans="1:22" ht="20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</row>
    <row r="142" spans="1:22" ht="20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</row>
    <row r="143" spans="1:22" ht="20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</row>
    <row r="144" spans="1:22" ht="20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</row>
    <row r="145" spans="1:22" ht="20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</row>
    <row r="146" spans="1:22" ht="20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</row>
    <row r="147" spans="1:22" ht="20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</row>
    <row r="148" spans="1:22" ht="20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</row>
    <row r="149" spans="1:22" ht="20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85"/>
  <sheetViews>
    <sheetView showGridLines="0" workbookViewId="0">
      <pane xSplit="4" ySplit="7" topLeftCell="E31" activePane="bottomRight" state="frozen"/>
      <selection pane="topRight"/>
      <selection pane="bottomLeft"/>
      <selection pane="bottomRight" activeCell="C41" sqref="C41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285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20" customHeight="1">
      <c r="A8" s="1"/>
      <c r="B8" s="1"/>
      <c r="C8" s="1" t="s">
        <v>3</v>
      </c>
      <c r="D8" s="1"/>
      <c r="E8" s="6">
        <f>Assumptions!E8</f>
        <v>227.8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</row>
    <row r="9" spans="1:22" ht="20" customHeight="1">
      <c r="A9" s="1"/>
      <c r="B9" s="1"/>
      <c r="C9" s="1" t="s">
        <v>286</v>
      </c>
      <c r="D9" s="1"/>
      <c r="E9" s="6">
        <f>Comps!E23</f>
        <v>125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</row>
    <row r="10" spans="1:22" ht="20" customHeight="1">
      <c r="A10" s="1"/>
      <c r="B10" s="1"/>
      <c r="C10" s="1" t="s">
        <v>287</v>
      </c>
      <c r="D10" s="1"/>
      <c r="E10" s="4">
        <f>Assumptions!E19</f>
        <v>0.06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</row>
    <row r="11" spans="1:22" ht="20" customHeight="1">
      <c r="A11" s="1"/>
      <c r="B11" s="1"/>
      <c r="C11" s="1" t="s">
        <v>288</v>
      </c>
      <c r="D11" s="1"/>
      <c r="E11" s="2">
        <f>(Assumptions!E10-Assumptions!E9)/365</f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</row>
    <row r="12" spans="1:22" ht="20" customHeight="1">
      <c r="A12" s="1"/>
      <c r="B12" s="1"/>
      <c r="C12" s="1" t="s">
        <v>289</v>
      </c>
      <c r="D12" s="1"/>
      <c r="E12" s="6">
        <f>Assumptions!E21*E11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20" customHeight="1">
      <c r="A13" s="1"/>
      <c r="B13" s="1"/>
      <c r="C13" s="1" t="s">
        <v>290</v>
      </c>
      <c r="D13" s="1"/>
      <c r="E13" s="6">
        <f>E8-E9-E12</f>
        <v>102.80000000000001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</row>
    <row r="14" spans="1:22" ht="20" customHeight="1">
      <c r="A14" s="1"/>
      <c r="B14" s="1"/>
      <c r="C14" s="1" t="s">
        <v>291</v>
      </c>
      <c r="D14" s="1"/>
      <c r="E14" s="6">
        <f>E8*E10*E11</f>
        <v>13.668000000000001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</row>
    <row r="15" spans="1:22" ht="20" customHeight="1">
      <c r="A15" s="1"/>
      <c r="B15" s="1"/>
      <c r="C15" s="1" t="s">
        <v>292</v>
      </c>
      <c r="D15" s="1"/>
      <c r="E15" s="6">
        <f>E13-E14</f>
        <v>89.132000000000005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</row>
    <row r="16" spans="1:22" ht="20" customHeight="1">
      <c r="A16" s="1"/>
      <c r="B16" s="1"/>
      <c r="C16" s="1" t="s">
        <v>293</v>
      </c>
      <c r="D16" s="1"/>
      <c r="E16" s="4">
        <f>E15/E8</f>
        <v>0.39127304653204564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20" customHeight="1">
      <c r="A17" s="1"/>
      <c r="B17" s="1"/>
      <c r="C17" s="1" t="s">
        <v>294</v>
      </c>
      <c r="D17" s="1"/>
      <c r="E17" s="6">
        <f>E8-E14-E12</f>
        <v>214.13200000000001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"/>
      <c r="V17" s="1"/>
    </row>
    <row r="18" spans="1:22" ht="20" customHeight="1">
      <c r="A18" s="1"/>
      <c r="B18" s="1"/>
      <c r="C18" s="1" t="s">
        <v>295</v>
      </c>
      <c r="D18" s="1"/>
      <c r="E18" s="6">
        <f>E8*Assumptions!E20</f>
        <v>113.9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"/>
      <c r="V18" s="1"/>
    </row>
    <row r="19" spans="1:22" ht="20" customHeight="1">
      <c r="A19" s="1"/>
      <c r="B19" s="1"/>
      <c r="C19" s="1" t="s">
        <v>296</v>
      </c>
      <c r="D19" s="1"/>
      <c r="E19" s="4">
        <f>E15/E18</f>
        <v>0.78254609306409129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"/>
      <c r="V19" s="1"/>
    </row>
    <row r="20" spans="1:22" ht="20" customHeight="1">
      <c r="A20" s="1"/>
      <c r="B20" s="1"/>
      <c r="C20" s="1" t="s">
        <v>297</v>
      </c>
      <c r="D20" s="1"/>
      <c r="E20" s="4">
        <f>XIRR(F25:F29,E25:E29)</f>
        <v>0.75259844064712533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"/>
      <c r="V20" s="1"/>
    </row>
    <row r="21" spans="1:22" ht="20" customHeight="1">
      <c r="A21" s="1"/>
      <c r="B21" s="1"/>
      <c r="C21" s="1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/>
      <c r="V21" s="1"/>
    </row>
    <row r="22" spans="1:22" ht="20" customHeight="1">
      <c r="A22" s="1"/>
      <c r="B22" s="1"/>
      <c r="C22" s="1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  <c r="V22" s="1"/>
    </row>
    <row r="23" spans="1:22" ht="20" customHeight="1">
      <c r="A23" s="1"/>
      <c r="B23" s="1"/>
      <c r="C23" s="1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"/>
      <c r="V23" s="1"/>
    </row>
    <row r="24" spans="1:22" ht="20" customHeight="1">
      <c r="A24" s="1"/>
      <c r="B24" s="1"/>
      <c r="C24" s="1"/>
      <c r="D24" s="1"/>
      <c r="E24" s="2" t="s">
        <v>298</v>
      </c>
      <c r="F24" s="2" t="s">
        <v>299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"/>
      <c r="V24" s="1"/>
    </row>
    <row r="25" spans="1:22" ht="20" customHeight="1">
      <c r="A25" s="1"/>
      <c r="B25" s="1"/>
      <c r="C25" s="1"/>
      <c r="D25" s="1"/>
      <c r="E25" s="5">
        <f>Assumptions!E9</f>
        <v>46311</v>
      </c>
      <c r="F25" s="6">
        <f>-E18</f>
        <v>-113.9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</row>
    <row r="26" spans="1:22" ht="20" customHeight="1">
      <c r="A26" s="1"/>
      <c r="B26" s="1"/>
      <c r="C26" s="1"/>
      <c r="D26" s="1"/>
      <c r="E26" s="5">
        <f>EDATE($E$25,3)</f>
        <v>46403</v>
      </c>
      <c r="F26" s="6">
        <f>-$E$14/4</f>
        <v>-3.4170000000000003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"/>
      <c r="V26" s="1"/>
    </row>
    <row r="27" spans="1:22" ht="20" customHeight="1">
      <c r="A27" s="1"/>
      <c r="B27" s="1"/>
      <c r="C27" s="1"/>
      <c r="D27" s="1"/>
      <c r="E27" s="5">
        <f>EDATE($E$25,6)</f>
        <v>46493</v>
      </c>
      <c r="F27" s="6">
        <f>-$E$14/4</f>
        <v>-3.4170000000000003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"/>
      <c r="V27" s="1"/>
    </row>
    <row r="28" spans="1:22" ht="20" customHeight="1">
      <c r="A28" s="1"/>
      <c r="B28" s="1"/>
      <c r="C28" s="1"/>
      <c r="D28" s="1"/>
      <c r="E28" s="5">
        <f>EDATE($E$25,9)</f>
        <v>46584</v>
      </c>
      <c r="F28" s="6">
        <f>-$E$14/4</f>
        <v>-3.4170000000000003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"/>
      <c r="V28" s="1"/>
    </row>
    <row r="29" spans="1:22" ht="20" customHeight="1">
      <c r="A29" s="1"/>
      <c r="B29" s="1"/>
      <c r="C29" s="1"/>
      <c r="D29" s="1"/>
      <c r="E29" s="5">
        <f>Assumptions!E10</f>
        <v>46676</v>
      </c>
      <c r="F29" s="6">
        <f>E18+E13-E14/4</f>
        <v>213.28300000000002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"/>
      <c r="V29" s="1"/>
    </row>
    <row r="30" spans="1:22" ht="20" customHeight="1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</row>
    <row r="31" spans="1:22" ht="20" customHeight="1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</row>
    <row r="32" spans="1:22" ht="20" customHeight="1">
      <c r="A32" s="1"/>
      <c r="B32" s="1"/>
      <c r="C32" s="7" t="s">
        <v>300</v>
      </c>
      <c r="D32" s="7"/>
      <c r="E32" s="8"/>
      <c r="F32" s="8"/>
      <c r="G32" s="8"/>
      <c r="H32" s="8"/>
      <c r="I32" s="8"/>
      <c r="J32" s="8"/>
      <c r="K32" s="2"/>
      <c r="L32" s="2"/>
      <c r="M32" s="2"/>
      <c r="N32" s="2"/>
      <c r="O32" s="2"/>
      <c r="P32" s="2"/>
      <c r="Q32" s="2"/>
      <c r="R32" s="2"/>
      <c r="S32" s="2"/>
      <c r="T32" s="2"/>
      <c r="U32" s="1"/>
      <c r="V32" s="1"/>
    </row>
    <row r="33" spans="1:22" ht="20" customHeight="1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"/>
      <c r="V33" s="1"/>
    </row>
    <row r="34" spans="1:22" ht="20" customHeight="1">
      <c r="A34" s="1"/>
      <c r="B34" s="1"/>
      <c r="C34" s="1"/>
      <c r="D34" s="1"/>
      <c r="E34" s="2"/>
      <c r="F34" s="4">
        <v>0.03</v>
      </c>
      <c r="G34" s="4">
        <v>0.06</v>
      </c>
      <c r="H34" s="4">
        <v>0.12</v>
      </c>
      <c r="I34" s="4">
        <v>0.2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</row>
    <row r="35" spans="1:22" ht="20" customHeight="1">
      <c r="A35" s="1"/>
      <c r="B35" s="1"/>
      <c r="C35" s="1" t="s">
        <v>301</v>
      </c>
      <c r="D35" s="1"/>
      <c r="E35" s="6">
        <f>E9</f>
        <v>125</v>
      </c>
      <c r="F35" s="4">
        <f t="shared" ref="F35:I38" si="0">($E$8-$E35-$E$12)/$E$8-F$34*$E$11</f>
        <v>0.42127304653204567</v>
      </c>
      <c r="G35" s="4">
        <f t="shared" si="0"/>
        <v>0.3912730465320457</v>
      </c>
      <c r="H35" s="4">
        <f t="shared" si="0"/>
        <v>0.3312730465320457</v>
      </c>
      <c r="I35" s="4">
        <f t="shared" si="0"/>
        <v>0.25127304653204569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</row>
    <row r="36" spans="1:22" ht="20" customHeight="1">
      <c r="A36" s="1"/>
      <c r="B36" s="1"/>
      <c r="C36" s="1" t="s">
        <v>302</v>
      </c>
      <c r="D36" s="1"/>
      <c r="E36" s="6">
        <f>E8</f>
        <v>227.8</v>
      </c>
      <c r="F36" s="4">
        <f t="shared" si="0"/>
        <v>-0.03</v>
      </c>
      <c r="G36" s="4">
        <f t="shared" si="0"/>
        <v>-0.06</v>
      </c>
      <c r="H36" s="4">
        <f t="shared" si="0"/>
        <v>-0.12</v>
      </c>
      <c r="I36" s="4">
        <f t="shared" si="0"/>
        <v>-0.2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</row>
    <row r="37" spans="1:22" ht="20" customHeight="1">
      <c r="A37" s="1"/>
      <c r="B37" s="1"/>
      <c r="C37" s="1" t="s">
        <v>303</v>
      </c>
      <c r="D37" s="1"/>
      <c r="E37" s="6">
        <f>DCF!E53</f>
        <v>89.634135366966802</v>
      </c>
      <c r="F37" s="4">
        <f t="shared" si="0"/>
        <v>0.57652267178680072</v>
      </c>
      <c r="G37" s="4">
        <f t="shared" si="0"/>
        <v>0.54652267178680081</v>
      </c>
      <c r="H37" s="4">
        <f t="shared" si="0"/>
        <v>0.48652267178680075</v>
      </c>
      <c r="I37" s="4">
        <f t="shared" si="0"/>
        <v>0.40652267178680074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"/>
      <c r="V37" s="1"/>
    </row>
    <row r="38" spans="1:22" ht="20" customHeight="1">
      <c r="A38" s="1"/>
      <c r="B38" s="1"/>
      <c r="C38" s="1" t="s">
        <v>304</v>
      </c>
      <c r="D38" s="1"/>
      <c r="E38" s="6">
        <v>346.88816452539231</v>
      </c>
      <c r="F38" s="4">
        <f t="shared" si="0"/>
        <v>-0.55277508571287226</v>
      </c>
      <c r="G38" s="4">
        <f t="shared" si="0"/>
        <v>-0.58277508571287218</v>
      </c>
      <c r="H38" s="4">
        <f t="shared" si="0"/>
        <v>-0.64277508571287223</v>
      </c>
      <c r="I38" s="4">
        <f t="shared" si="0"/>
        <v>-0.7227750857128723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</row>
    <row r="39" spans="1:22" ht="20" customHeight="1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</row>
    <row r="40" spans="1:22" ht="20" customHeight="1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</row>
    <row r="41" spans="1:22" ht="21" customHeight="1">
      <c r="A41" s="1"/>
      <c r="B41" s="1"/>
      <c r="C41" s="1" t="s">
        <v>305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</row>
    <row r="42" spans="1:22" ht="21" customHeight="1">
      <c r="A42" s="1"/>
      <c r="B42" s="1"/>
      <c r="C42" s="1" t="s">
        <v>306</v>
      </c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</row>
    <row r="43" spans="1:22" ht="21" customHeight="1">
      <c r="A43" s="1"/>
      <c r="B43" s="1"/>
      <c r="C43" s="1" t="s">
        <v>307</v>
      </c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</row>
    <row r="44" spans="1:22" ht="21" customHeight="1">
      <c r="A44" s="1"/>
      <c r="B44" s="1"/>
      <c r="C44" s="1" t="s">
        <v>308</v>
      </c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</row>
    <row r="45" spans="1:22" ht="20" customHeight="1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</row>
    <row r="46" spans="1:22" ht="20" customHeight="1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</row>
    <row r="47" spans="1:22" ht="20" customHeight="1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</row>
    <row r="48" spans="1:22" ht="20" customHeight="1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</row>
    <row r="49" spans="1:22" ht="20" customHeight="1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</row>
    <row r="50" spans="1:22" ht="20" customHeight="1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</row>
    <row r="51" spans="1:22" ht="20" customHeight="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</row>
    <row r="52" spans="1:22" ht="20" customHeight="1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</row>
    <row r="53" spans="1:22" ht="20" customHeight="1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</row>
    <row r="54" spans="1:22" ht="20" customHeight="1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</row>
    <row r="55" spans="1:22" ht="20" customHeight="1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</row>
    <row r="56" spans="1:22" ht="20" customHeight="1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</row>
    <row r="57" spans="1:22" ht="20" customHeight="1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</row>
    <row r="58" spans="1:22" ht="20" customHeight="1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</row>
    <row r="59" spans="1:22" ht="20" customHeight="1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</row>
    <row r="60" spans="1:22" ht="20" customHeight="1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</row>
    <row r="61" spans="1:22" ht="20" customHeight="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</row>
    <row r="62" spans="1:22" ht="20" customHeight="1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</row>
    <row r="63" spans="1:22" ht="20" customHeight="1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</row>
    <row r="64" spans="1:22" ht="20" customHeight="1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</row>
    <row r="65" spans="1:22" ht="20" customHeight="1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</row>
    <row r="66" spans="1:22" ht="20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</row>
    <row r="67" spans="1:22" ht="20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</row>
    <row r="68" spans="1:22" ht="20" customHeight="1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</row>
    <row r="69" spans="1:22" ht="20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</row>
    <row r="70" spans="1:22" ht="20" customHeight="1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</row>
    <row r="71" spans="1:22" ht="20" customHeight="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</row>
    <row r="72" spans="1:22" ht="20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</row>
    <row r="73" spans="1:22" ht="20" customHeight="1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</row>
    <row r="74" spans="1:22" ht="20" customHeight="1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</row>
    <row r="75" spans="1:22" ht="20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</row>
    <row r="76" spans="1:22" ht="20" customHeight="1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</row>
    <row r="77" spans="1:22" ht="20" customHeight="1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</row>
    <row r="78" spans="1:22" ht="20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</row>
    <row r="79" spans="1:22" ht="20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</row>
    <row r="80" spans="1:22" ht="20" customHeight="1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</row>
    <row r="81" spans="1:22" ht="20" customHeight="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</row>
    <row r="82" spans="1:22" ht="20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</row>
    <row r="83" spans="1:22" ht="20" customHeight="1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</row>
    <row r="84" spans="1:22" ht="20" customHeight="1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</row>
    <row r="85" spans="1:22" ht="20" customHeight="1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</row>
    <row r="86" spans="1:22" ht="20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</row>
    <row r="87" spans="1:22" ht="20" customHeight="1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</row>
    <row r="88" spans="1:22" ht="20" customHeight="1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</row>
    <row r="89" spans="1:22" ht="20" customHeight="1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</row>
    <row r="90" spans="1:22" ht="20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</row>
    <row r="91" spans="1:22" ht="20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</row>
    <row r="92" spans="1:22" ht="20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</row>
    <row r="93" spans="1:22" ht="20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</row>
    <row r="94" spans="1:22" ht="20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</row>
    <row r="95" spans="1:22" ht="20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</row>
    <row r="96" spans="1:22" ht="20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</row>
    <row r="97" spans="1:22" ht="20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</row>
    <row r="98" spans="1:22" ht="20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</row>
    <row r="99" spans="1:22" ht="20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</row>
    <row r="100" spans="1:22" ht="20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</row>
    <row r="101" spans="1:22" ht="20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</row>
    <row r="102" spans="1:22" ht="20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</row>
    <row r="103" spans="1:22" ht="20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</row>
    <row r="104" spans="1:22" ht="20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</row>
    <row r="105" spans="1:22" ht="20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</row>
    <row r="106" spans="1:22" ht="20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</row>
    <row r="107" spans="1:22" ht="20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</row>
    <row r="108" spans="1:22" ht="20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</row>
    <row r="109" spans="1:22" ht="20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</row>
    <row r="110" spans="1:22" ht="20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</row>
    <row r="111" spans="1:22" ht="20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</row>
    <row r="112" spans="1:22" ht="20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</row>
    <row r="113" spans="1:22" ht="20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</row>
    <row r="114" spans="1:22" ht="20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</row>
    <row r="115" spans="1:22" ht="20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</row>
    <row r="116" spans="1:22" ht="20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</row>
    <row r="117" spans="1:22" ht="20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</row>
    <row r="118" spans="1:22" ht="20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</row>
    <row r="119" spans="1:22" ht="20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</row>
    <row r="120" spans="1:22" ht="20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</row>
    <row r="121" spans="1:22" ht="20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</row>
    <row r="122" spans="1:22" ht="20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</row>
    <row r="123" spans="1:22" ht="20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</row>
    <row r="124" spans="1:22" ht="20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</row>
    <row r="125" spans="1:22" ht="20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</row>
    <row r="126" spans="1:22" ht="20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</row>
    <row r="127" spans="1:22" ht="20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</row>
    <row r="128" spans="1:22" ht="20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</row>
    <row r="129" spans="1:22" ht="20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</row>
    <row r="130" spans="1:22" ht="20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</row>
    <row r="131" spans="1:22" ht="20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</row>
    <row r="132" spans="1:22" ht="20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</row>
    <row r="133" spans="1:22" ht="20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</row>
    <row r="134" spans="1:22" ht="20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</row>
    <row r="135" spans="1:22" ht="20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</row>
    <row r="136" spans="1:22" ht="20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</row>
    <row r="137" spans="1:22" ht="20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</row>
    <row r="138" spans="1:22" ht="20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</row>
    <row r="139" spans="1:22" ht="20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</row>
    <row r="140" spans="1:22" ht="20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</row>
    <row r="141" spans="1:22" ht="20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</row>
    <row r="142" spans="1:22" ht="20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</row>
    <row r="143" spans="1:22" ht="20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</row>
    <row r="144" spans="1:22" ht="20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</row>
    <row r="145" spans="1:22" ht="20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</row>
    <row r="146" spans="1:22" ht="20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</row>
    <row r="147" spans="1:22" ht="20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</row>
    <row r="148" spans="1:22" ht="20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</row>
    <row r="149" spans="1:22" ht="20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85"/>
  <sheetViews>
    <sheetView showGridLines="0" workbookViewId="0">
      <pane xSplit="4" ySplit="7" topLeftCell="E66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309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12" t="s">
        <v>310</v>
      </c>
      <c r="F7" s="12" t="s">
        <v>311</v>
      </c>
      <c r="G7" s="12" t="s">
        <v>312</v>
      </c>
      <c r="H7" s="12" t="s">
        <v>313</v>
      </c>
      <c r="I7" s="2"/>
      <c r="J7" s="2" t="s">
        <v>314</v>
      </c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20" customHeight="1">
      <c r="A8" s="1"/>
      <c r="B8" s="1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</row>
    <row r="9" spans="1:22" ht="20" customHeight="1">
      <c r="A9" s="1"/>
      <c r="B9" s="1"/>
      <c r="C9" s="1" t="s">
        <v>29</v>
      </c>
      <c r="D9" s="1"/>
      <c r="E9" s="2">
        <v>3.2330000000000001</v>
      </c>
      <c r="F9" s="2">
        <v>4.0069999999999997</v>
      </c>
      <c r="G9" s="2">
        <v>4.92</v>
      </c>
      <c r="H9" s="2">
        <v>1.2889999999999999</v>
      </c>
      <c r="I9" s="2"/>
      <c r="J9" s="2" t="s">
        <v>315</v>
      </c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</row>
    <row r="10" spans="1:22" ht="20" customHeight="1">
      <c r="A10" s="1"/>
      <c r="B10" s="1"/>
      <c r="C10" s="1" t="s">
        <v>141</v>
      </c>
      <c r="D10" s="1"/>
      <c r="E10" s="2">
        <v>0.154</v>
      </c>
      <c r="F10" s="2">
        <v>0.121</v>
      </c>
      <c r="G10" s="2">
        <v>0.121</v>
      </c>
      <c r="H10" s="2">
        <v>3.5999999999999997E-2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</row>
    <row r="11" spans="1:22" ht="20" customHeight="1">
      <c r="A11" s="1"/>
      <c r="B11" s="1"/>
      <c r="C11" s="1" t="s">
        <v>142</v>
      </c>
      <c r="D11" s="1"/>
      <c r="E11" s="2">
        <v>3.0790000000000002</v>
      </c>
      <c r="F11" s="2">
        <v>3.8860000000000001</v>
      </c>
      <c r="G11" s="2">
        <v>4.7990000000000004</v>
      </c>
      <c r="H11" s="2">
        <v>1.2529999999999999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</row>
    <row r="12" spans="1:22" ht="20" customHeight="1">
      <c r="A12" s="1"/>
      <c r="B12" s="1"/>
      <c r="C12" s="1" t="s">
        <v>144</v>
      </c>
      <c r="D12" s="1"/>
      <c r="E12" s="2">
        <v>1.9790000000000001</v>
      </c>
      <c r="F12" s="2">
        <v>2.0710000000000002</v>
      </c>
      <c r="G12" s="2">
        <v>2.7759999999999998</v>
      </c>
      <c r="H12" s="2">
        <v>0.83799999999999997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20" customHeight="1">
      <c r="A13" s="1"/>
      <c r="B13" s="1"/>
      <c r="C13" s="1" t="s">
        <v>316</v>
      </c>
      <c r="D13" s="1"/>
      <c r="E13" s="2">
        <v>0.98299999999999998</v>
      </c>
      <c r="F13" s="2">
        <v>0.98399999999999999</v>
      </c>
      <c r="G13" s="2">
        <v>1.115</v>
      </c>
      <c r="H13" s="2">
        <v>0.317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</row>
    <row r="14" spans="1:22" ht="20" customHeight="1">
      <c r="A14" s="1"/>
      <c r="B14" s="1"/>
      <c r="C14" s="1" t="s">
        <v>317</v>
      </c>
      <c r="D14" s="1"/>
      <c r="E14" s="2">
        <v>6.0000000000000001E-3</v>
      </c>
      <c r="F14" s="2">
        <v>0</v>
      </c>
      <c r="G14" s="2">
        <v>8.0000000000000002E-3</v>
      </c>
      <c r="H14" s="2">
        <v>7.0000000000000001E-3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</row>
    <row r="15" spans="1:22" ht="20" customHeight="1">
      <c r="A15" s="1"/>
      <c r="B15" s="1"/>
      <c r="C15" s="1" t="s">
        <v>318</v>
      </c>
      <c r="D15" s="1"/>
      <c r="E15" s="2">
        <v>2.968</v>
      </c>
      <c r="F15" s="2">
        <v>3.0550000000000002</v>
      </c>
      <c r="G15" s="2">
        <v>3.899</v>
      </c>
      <c r="H15" s="2">
        <v>1.1619999999999999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</row>
    <row r="16" spans="1:22" ht="20" customHeight="1">
      <c r="A16" s="1"/>
      <c r="B16" s="1"/>
      <c r="C16" s="1" t="s">
        <v>146</v>
      </c>
      <c r="D16" s="1"/>
      <c r="E16" s="2">
        <v>0.111</v>
      </c>
      <c r="F16" s="2">
        <v>0.83099999999999996</v>
      </c>
      <c r="G16" s="2">
        <v>0.9</v>
      </c>
      <c r="H16" s="2">
        <v>9.0999999999999998E-2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20" customHeight="1">
      <c r="A17" s="1"/>
      <c r="B17" s="1"/>
      <c r="C17" s="1" t="s">
        <v>319</v>
      </c>
      <c r="D17" s="1"/>
      <c r="E17" s="2">
        <v>-0.02</v>
      </c>
      <c r="F17" s="2">
        <v>-0.23699999999999999</v>
      </c>
      <c r="G17" s="2">
        <v>1.4E-2</v>
      </c>
      <c r="H17" s="2">
        <v>0.128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"/>
      <c r="V17" s="1"/>
    </row>
    <row r="18" spans="1:22" ht="20" customHeight="1">
      <c r="A18" s="1"/>
      <c r="B18" s="1"/>
      <c r="C18" s="1" t="s">
        <v>320</v>
      </c>
      <c r="D18" s="1"/>
      <c r="E18" s="2">
        <v>0.11</v>
      </c>
      <c r="F18" s="2">
        <v>0.11600000000000001</v>
      </c>
      <c r="G18" s="2">
        <v>0.111</v>
      </c>
      <c r="H18" s="2">
        <v>3.1E-2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"/>
      <c r="V18" s="1"/>
    </row>
    <row r="19" spans="1:22" ht="20" customHeight="1">
      <c r="A19" s="1"/>
      <c r="B19" s="1"/>
      <c r="C19" s="1" t="s">
        <v>321</v>
      </c>
      <c r="D19" s="1"/>
      <c r="E19" s="2">
        <v>1.0999999999999999E-2</v>
      </c>
      <c r="F19" s="2">
        <v>0.01</v>
      </c>
      <c r="G19" s="2">
        <v>0.13200000000000001</v>
      </c>
      <c r="H19" s="2">
        <v>3.0000000000000001E-3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"/>
      <c r="V19" s="1"/>
    </row>
    <row r="20" spans="1:22" ht="20" customHeight="1">
      <c r="A20" s="1"/>
      <c r="B20" s="1"/>
      <c r="C20" s="1" t="s">
        <v>322</v>
      </c>
      <c r="D20" s="1"/>
      <c r="E20" s="2">
        <v>0.21199999999999999</v>
      </c>
      <c r="F20" s="2">
        <v>0.72</v>
      </c>
      <c r="G20" s="2">
        <v>1.157</v>
      </c>
      <c r="H20" s="2">
        <v>0.253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"/>
      <c r="V20" s="1"/>
    </row>
    <row r="21" spans="1:22" ht="20" customHeight="1">
      <c r="A21" s="1"/>
      <c r="B21" s="1"/>
      <c r="C21" s="1" t="s">
        <v>323</v>
      </c>
      <c r="D21" s="1"/>
      <c r="E21" s="2">
        <v>-9.4E-2</v>
      </c>
      <c r="F21" s="2">
        <v>-7.1999999999999995E-2</v>
      </c>
      <c r="G21" s="2">
        <v>0.253</v>
      </c>
      <c r="H21" s="2">
        <v>-1.7000000000000001E-2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/>
      <c r="V21" s="1"/>
    </row>
    <row r="22" spans="1:22" ht="20" customHeight="1">
      <c r="A22" s="1"/>
      <c r="B22" s="1"/>
      <c r="C22" s="1" t="s">
        <v>150</v>
      </c>
      <c r="D22" s="1"/>
      <c r="E22" s="2">
        <v>0.30599999999999999</v>
      </c>
      <c r="F22" s="2">
        <v>0.79200000000000004</v>
      </c>
      <c r="G22" s="2">
        <v>0.90400000000000003</v>
      </c>
      <c r="H22" s="2">
        <v>0.27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  <c r="V22" s="1"/>
    </row>
    <row r="23" spans="1:22" ht="20" customHeight="1">
      <c r="A23" s="1"/>
      <c r="B23" s="1"/>
      <c r="C23" s="1" t="s">
        <v>151</v>
      </c>
      <c r="D23" s="1"/>
      <c r="E23" s="2">
        <v>1.044</v>
      </c>
      <c r="F23" s="2">
        <v>1.0629999999999999</v>
      </c>
      <c r="G23" s="2">
        <v>1.0680000000000001</v>
      </c>
      <c r="H23" s="2">
        <v>1.0780000000000001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"/>
      <c r="V23" s="1"/>
    </row>
    <row r="24" spans="1:22" ht="20" customHeight="1">
      <c r="A24" s="1"/>
      <c r="B24" s="1"/>
      <c r="C24" s="1" t="s">
        <v>98</v>
      </c>
      <c r="D24" s="1"/>
      <c r="E24" s="2">
        <v>1.802</v>
      </c>
      <c r="F24" s="2">
        <v>2.1680000000000001</v>
      </c>
      <c r="G24" s="2">
        <v>2.613</v>
      </c>
      <c r="H24" s="2">
        <v>0.71499999999999997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"/>
      <c r="V24" s="1"/>
    </row>
    <row r="25" spans="1:22" ht="20" customHeight="1">
      <c r="A25" s="1"/>
      <c r="B25" s="1"/>
      <c r="C25" s="1" t="s">
        <v>324</v>
      </c>
      <c r="D25" s="1"/>
      <c r="E25" s="2">
        <v>1.431</v>
      </c>
      <c r="F25" s="2">
        <v>1.839</v>
      </c>
      <c r="G25" s="2">
        <v>2.3069999999999999</v>
      </c>
      <c r="H25" s="2">
        <v>0.57399999999999995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</row>
    <row r="26" spans="1:22" ht="20" customHeight="1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"/>
      <c r="V26" s="1"/>
    </row>
    <row r="27" spans="1:22" ht="20" customHeight="1">
      <c r="A27" s="1"/>
      <c r="B27" s="1"/>
      <c r="C27" s="1" t="s">
        <v>32</v>
      </c>
      <c r="D27" s="1"/>
      <c r="E27" s="2">
        <v>1.0900000000000001</v>
      </c>
      <c r="F27" s="2">
        <v>0.39700000000000002</v>
      </c>
      <c r="G27" s="2">
        <v>1.524</v>
      </c>
      <c r="H27" s="2">
        <v>0.90200000000000002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"/>
      <c r="V27" s="1"/>
    </row>
    <row r="28" spans="1:22" ht="20" customHeight="1">
      <c r="A28" s="1"/>
      <c r="B28" s="1"/>
      <c r="C28" s="1" t="s">
        <v>325</v>
      </c>
      <c r="D28" s="1"/>
      <c r="E28" s="2">
        <v>0.16200000000000001</v>
      </c>
      <c r="F28" s="2">
        <v>0.183</v>
      </c>
      <c r="G28" s="2">
        <v>0.249</v>
      </c>
      <c r="H28" s="2">
        <v>7.4999999999999997E-2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"/>
      <c r="V28" s="1"/>
    </row>
    <row r="29" spans="1:22" ht="20" customHeight="1">
      <c r="A29" s="1"/>
      <c r="B29" s="1"/>
      <c r="C29" s="1" t="s">
        <v>326</v>
      </c>
      <c r="D29" s="1"/>
      <c r="E29" s="2">
        <v>1.0369999999999999</v>
      </c>
      <c r="F29" s="2">
        <v>0.82</v>
      </c>
      <c r="G29" s="2">
        <v>1.052</v>
      </c>
      <c r="H29" s="2">
        <v>0.34300000000000003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"/>
      <c r="V29" s="1"/>
    </row>
    <row r="30" spans="1:22" ht="20" customHeight="1">
      <c r="A30" s="1"/>
      <c r="B30" s="1"/>
      <c r="C30" s="1" t="s">
        <v>327</v>
      </c>
      <c r="D30" s="1"/>
      <c r="E30" s="2">
        <v>9.1999999999999998E-2</v>
      </c>
      <c r="F30" s="2">
        <v>0.219</v>
      </c>
      <c r="G30" s="2">
        <v>0.54500000000000004</v>
      </c>
      <c r="H30" s="2">
        <v>0.19700000000000001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</row>
    <row r="31" spans="1:22" ht="20" customHeight="1">
      <c r="A31" s="1"/>
      <c r="B31" s="1"/>
      <c r="C31" s="1" t="s">
        <v>328</v>
      </c>
      <c r="D31" s="1"/>
      <c r="E31" s="2">
        <v>5.0999999999999997E-2</v>
      </c>
      <c r="F31" s="2">
        <v>0.02</v>
      </c>
      <c r="G31" s="2">
        <v>0.03</v>
      </c>
      <c r="H31" s="2">
        <v>1.0999999999999999E-2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</row>
    <row r="32" spans="1:22" ht="20" customHeight="1">
      <c r="A32" s="1"/>
      <c r="B32" s="1"/>
      <c r="C32" s="1" t="s">
        <v>329</v>
      </c>
      <c r="D32" s="1"/>
      <c r="E32" s="2">
        <v>0.04</v>
      </c>
      <c r="F32" s="2">
        <v>5.8999999999999997E-2</v>
      </c>
      <c r="G32" s="2">
        <v>6.7000000000000004E-2</v>
      </c>
      <c r="H32" s="2">
        <v>2.9000000000000001E-2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"/>
      <c r="V32" s="1"/>
    </row>
    <row r="33" spans="1:22" ht="20" customHeight="1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"/>
      <c r="V33" s="1"/>
    </row>
    <row r="34" spans="1:22" ht="20" customHeight="1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</row>
    <row r="35" spans="1:22" ht="20" customHeight="1">
      <c r="A35" s="1"/>
      <c r="B35" s="1"/>
      <c r="C35" s="7" t="s">
        <v>330</v>
      </c>
      <c r="D35" s="7"/>
      <c r="E35" s="8"/>
      <c r="F35" s="8"/>
      <c r="G35" s="8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</row>
    <row r="36" spans="1:22" ht="20" customHeight="1">
      <c r="A36" s="1"/>
      <c r="B36" s="1"/>
      <c r="C36" s="1"/>
      <c r="D36" s="1"/>
      <c r="E36" s="2" t="s">
        <v>331</v>
      </c>
      <c r="F36" s="2"/>
      <c r="G36" s="2" t="s">
        <v>332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</row>
    <row r="37" spans="1:22" ht="20" customHeight="1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"/>
      <c r="V37" s="1"/>
    </row>
    <row r="38" spans="1:22" ht="20" customHeight="1">
      <c r="A38" s="1"/>
      <c r="B38" s="1"/>
      <c r="C38" s="1" t="s">
        <v>175</v>
      </c>
      <c r="D38" s="1"/>
      <c r="E38" s="2">
        <v>2.7509999999999999</v>
      </c>
      <c r="F38" s="2"/>
      <c r="G38" s="2">
        <v>3.0579999999999998</v>
      </c>
      <c r="H38" s="2"/>
      <c r="I38" s="2"/>
      <c r="J38" s="2" t="s">
        <v>333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</row>
    <row r="39" spans="1:22" ht="20" customHeight="1">
      <c r="A39" s="1"/>
      <c r="B39" s="1"/>
      <c r="C39" s="1" t="s">
        <v>176</v>
      </c>
      <c r="D39" s="1"/>
      <c r="E39" s="2">
        <v>0.85</v>
      </c>
      <c r="F39" s="2"/>
      <c r="G39" s="2">
        <v>0.83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</row>
    <row r="40" spans="1:22" ht="20" customHeight="1">
      <c r="A40" s="1"/>
      <c r="B40" s="1"/>
      <c r="C40" s="1" t="s">
        <v>334</v>
      </c>
      <c r="D40" s="1"/>
      <c r="E40" s="2">
        <v>1.3</v>
      </c>
      <c r="F40" s="2"/>
      <c r="G40" s="2">
        <v>1.119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</row>
    <row r="41" spans="1:22" ht="20" customHeight="1">
      <c r="A41" s="1"/>
      <c r="B41" s="1"/>
      <c r="C41" s="1" t="s">
        <v>335</v>
      </c>
      <c r="D41" s="1"/>
      <c r="E41" s="2">
        <v>0.97699999999999998</v>
      </c>
      <c r="F41" s="2"/>
      <c r="G41" s="2">
        <v>0.88100000000000001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</row>
    <row r="42" spans="1:22" ht="20" customHeight="1">
      <c r="A42" s="1"/>
      <c r="B42" s="1"/>
      <c r="C42" s="1" t="s">
        <v>336</v>
      </c>
      <c r="D42" s="1"/>
      <c r="E42" s="2">
        <v>0.35799999999999998</v>
      </c>
      <c r="F42" s="2"/>
      <c r="G42" s="2">
        <v>0.45100000000000001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</row>
    <row r="43" spans="1:22" ht="20" customHeight="1">
      <c r="A43" s="1"/>
      <c r="B43" s="1"/>
      <c r="C43" s="1" t="s">
        <v>337</v>
      </c>
      <c r="D43" s="1"/>
      <c r="E43" s="2">
        <v>0.77200000000000002</v>
      </c>
      <c r="F43" s="2"/>
      <c r="G43" s="2">
        <v>0.92300000000000004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</row>
    <row r="44" spans="1:22" ht="20" customHeight="1">
      <c r="A44" s="1"/>
      <c r="B44" s="1"/>
      <c r="C44" s="1" t="s">
        <v>178</v>
      </c>
      <c r="D44" s="1"/>
      <c r="E44" s="2">
        <v>0.379</v>
      </c>
      <c r="F44" s="2"/>
      <c r="G44" s="2">
        <v>0.40600000000000003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</row>
    <row r="45" spans="1:22" ht="20" customHeight="1">
      <c r="A45" s="1"/>
      <c r="B45" s="1"/>
      <c r="C45" s="1" t="s">
        <v>338</v>
      </c>
      <c r="D45" s="1"/>
      <c r="E45" s="2">
        <v>6.9000000000000006E-2</v>
      </c>
      <c r="F45" s="2"/>
      <c r="G45" s="2">
        <v>6.2E-2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</row>
    <row r="46" spans="1:22" ht="20" customHeight="1">
      <c r="A46" s="1"/>
      <c r="B46" s="1"/>
      <c r="C46" s="1" t="s">
        <v>179</v>
      </c>
      <c r="D46" s="1"/>
      <c r="E46" s="2">
        <v>0.38700000000000001</v>
      </c>
      <c r="F46" s="2"/>
      <c r="G46" s="2">
        <v>0.58899999999999997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</row>
    <row r="47" spans="1:22" ht="20" customHeight="1">
      <c r="A47" s="1"/>
      <c r="B47" s="1"/>
      <c r="C47" s="1" t="s">
        <v>339</v>
      </c>
      <c r="D47" s="1"/>
      <c r="E47" s="2">
        <v>1.623</v>
      </c>
      <c r="F47" s="2"/>
      <c r="G47" s="2">
        <v>1.623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</row>
    <row r="48" spans="1:22" ht="20" customHeight="1">
      <c r="A48" s="1"/>
      <c r="B48" s="1"/>
      <c r="C48" s="1" t="s">
        <v>340</v>
      </c>
      <c r="D48" s="1"/>
      <c r="E48" s="2">
        <v>0.23</v>
      </c>
      <c r="F48" s="2"/>
      <c r="G48" s="2">
        <v>0.217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</row>
    <row r="49" spans="1:22" ht="20" customHeight="1">
      <c r="A49" s="1"/>
      <c r="B49" s="1"/>
      <c r="C49" s="1" t="s">
        <v>181</v>
      </c>
      <c r="D49" s="1"/>
      <c r="E49" s="2">
        <v>0.375</v>
      </c>
      <c r="F49" s="2"/>
      <c r="G49" s="2">
        <v>0.42499999999999999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</row>
    <row r="50" spans="1:22" ht="20" customHeight="1">
      <c r="A50" s="1"/>
      <c r="B50" s="1"/>
      <c r="C50" s="1" t="s">
        <v>341</v>
      </c>
      <c r="D50" s="1"/>
      <c r="E50" s="2">
        <v>0.32</v>
      </c>
      <c r="F50" s="2"/>
      <c r="G50" s="2">
        <v>0.36599999999999999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</row>
    <row r="51" spans="1:22" ht="20" customHeight="1">
      <c r="A51" s="1"/>
      <c r="B51" s="1"/>
      <c r="C51" s="1" t="s">
        <v>182</v>
      </c>
      <c r="D51" s="1"/>
      <c r="E51" s="2">
        <v>0.312</v>
      </c>
      <c r="F51" s="2"/>
      <c r="G51" s="2">
        <v>0.246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</row>
    <row r="52" spans="1:22" ht="20" customHeight="1">
      <c r="A52" s="1"/>
      <c r="B52" s="1"/>
      <c r="C52" s="1" t="s">
        <v>183</v>
      </c>
      <c r="D52" s="1"/>
      <c r="E52" s="2">
        <v>10.702999999999999</v>
      </c>
      <c r="F52" s="2"/>
      <c r="G52" s="2">
        <v>11.196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</row>
    <row r="53" spans="1:22" ht="20" customHeight="1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</row>
    <row r="54" spans="1:22" ht="20" customHeight="1">
      <c r="A54" s="1"/>
      <c r="B54" s="1"/>
      <c r="C54" s="1" t="s">
        <v>342</v>
      </c>
      <c r="D54" s="1"/>
      <c r="E54" s="2">
        <v>0.154</v>
      </c>
      <c r="F54" s="2"/>
      <c r="G54" s="2">
        <v>0.156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</row>
    <row r="55" spans="1:22" ht="20" customHeight="1">
      <c r="A55" s="1"/>
      <c r="B55" s="1"/>
      <c r="C55" s="1" t="s">
        <v>184</v>
      </c>
      <c r="D55" s="1"/>
      <c r="E55" s="2">
        <v>0.106</v>
      </c>
      <c r="F55" s="2"/>
      <c r="G55" s="2">
        <v>0.114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</row>
    <row r="56" spans="1:22" ht="20" customHeight="1">
      <c r="A56" s="1"/>
      <c r="B56" s="1"/>
      <c r="C56" s="1" t="s">
        <v>343</v>
      </c>
      <c r="D56" s="1"/>
      <c r="E56" s="2">
        <v>0.29399999999999998</v>
      </c>
      <c r="F56" s="2"/>
      <c r="G56" s="2">
        <v>0.2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</row>
    <row r="57" spans="1:22" ht="20" customHeight="1">
      <c r="A57" s="1"/>
      <c r="B57" s="1"/>
      <c r="C57" s="1" t="s">
        <v>344</v>
      </c>
      <c r="D57" s="1"/>
      <c r="E57" s="2">
        <v>3.9E-2</v>
      </c>
      <c r="F57" s="2"/>
      <c r="G57" s="2">
        <v>4.1000000000000002E-2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</row>
    <row r="58" spans="1:22" ht="20" customHeight="1">
      <c r="A58" s="1"/>
      <c r="B58" s="1"/>
      <c r="C58" s="1" t="s">
        <v>345</v>
      </c>
      <c r="D58" s="1"/>
      <c r="E58" s="2">
        <v>0.44700000000000001</v>
      </c>
      <c r="F58" s="2"/>
      <c r="G58" s="2">
        <v>0.69599999999999995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</row>
    <row r="59" spans="1:22" ht="20" customHeight="1">
      <c r="A59" s="1"/>
      <c r="B59" s="1"/>
      <c r="C59" s="1" t="s">
        <v>346</v>
      </c>
      <c r="D59" s="1"/>
      <c r="E59" s="2">
        <v>3.2000000000000001E-2</v>
      </c>
      <c r="F59" s="2"/>
      <c r="G59" s="2">
        <v>3.3000000000000002E-2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</row>
    <row r="60" spans="1:22" ht="20" customHeight="1">
      <c r="A60" s="1"/>
      <c r="B60" s="1"/>
      <c r="C60" s="1" t="s">
        <v>185</v>
      </c>
      <c r="D60" s="1"/>
      <c r="E60" s="2">
        <v>3.9E-2</v>
      </c>
      <c r="F60" s="2"/>
      <c r="G60" s="2">
        <v>2.3E-2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</row>
    <row r="61" spans="1:22" ht="20" customHeight="1">
      <c r="A61" s="1"/>
      <c r="B61" s="1"/>
      <c r="C61" s="1" t="s">
        <v>347</v>
      </c>
      <c r="D61" s="1"/>
      <c r="E61" s="2">
        <v>0.752</v>
      </c>
      <c r="F61" s="2"/>
      <c r="G61" s="2">
        <v>0.73899999999999999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</row>
    <row r="62" spans="1:22" ht="20" customHeight="1">
      <c r="A62" s="1"/>
      <c r="B62" s="1"/>
      <c r="C62" s="1" t="s">
        <v>348</v>
      </c>
      <c r="D62" s="1"/>
      <c r="E62" s="2">
        <v>0.39300000000000002</v>
      </c>
      <c r="F62" s="2"/>
      <c r="G62" s="2">
        <v>0.42299999999999999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</row>
    <row r="63" spans="1:22" ht="20" customHeight="1">
      <c r="A63" s="1"/>
      <c r="B63" s="1"/>
      <c r="C63" s="1" t="s">
        <v>187</v>
      </c>
      <c r="D63" s="1"/>
      <c r="E63" s="2">
        <v>0.161</v>
      </c>
      <c r="F63" s="2"/>
      <c r="G63" s="2">
        <v>0.14099999999999999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</row>
    <row r="64" spans="1:22" ht="20" customHeight="1">
      <c r="A64" s="1"/>
      <c r="B64" s="1"/>
      <c r="C64" s="1" t="s">
        <v>188</v>
      </c>
      <c r="D64" s="1"/>
      <c r="E64" s="2">
        <v>2.4169999999999998</v>
      </c>
      <c r="F64" s="2"/>
      <c r="G64" s="2">
        <v>2.5659999999999998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</row>
    <row r="65" spans="1:22" ht="20" customHeight="1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</row>
    <row r="66" spans="1:22" ht="20" customHeight="1">
      <c r="A66" s="1"/>
      <c r="B66" s="1"/>
      <c r="C66" s="1" t="s">
        <v>349</v>
      </c>
      <c r="D66" s="1"/>
      <c r="E66" s="2">
        <v>2E-3</v>
      </c>
      <c r="F66" s="2"/>
      <c r="G66" s="2">
        <v>2E-3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</row>
    <row r="67" spans="1:22" ht="20" customHeight="1">
      <c r="A67" s="1"/>
      <c r="B67" s="1"/>
      <c r="C67" s="1" t="s">
        <v>350</v>
      </c>
      <c r="D67" s="1"/>
      <c r="E67" s="2">
        <v>3.4670000000000001</v>
      </c>
      <c r="F67" s="2"/>
      <c r="G67" s="2">
        <v>3.5379999999999998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</row>
    <row r="68" spans="1:22" ht="20" customHeight="1">
      <c r="A68" s="1"/>
      <c r="B68" s="1"/>
      <c r="C68" s="1" t="s">
        <v>190</v>
      </c>
      <c r="D68" s="1"/>
      <c r="E68" s="2">
        <v>0.37</v>
      </c>
      <c r="F68" s="2"/>
      <c r="G68" s="2">
        <v>0.373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</row>
    <row r="69" spans="1:22" ht="20" customHeight="1">
      <c r="A69" s="1"/>
      <c r="B69" s="1"/>
      <c r="C69" s="1" t="s">
        <v>191</v>
      </c>
      <c r="D69" s="1"/>
      <c r="E69" s="2">
        <v>4.4470000000000001</v>
      </c>
      <c r="F69" s="2"/>
      <c r="G69" s="2">
        <v>4.7169999999999996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</row>
    <row r="70" spans="1:22" ht="20" customHeight="1">
      <c r="A70" s="1"/>
      <c r="B70" s="1"/>
      <c r="C70" s="1" t="s">
        <v>351</v>
      </c>
      <c r="D70" s="1"/>
      <c r="E70" s="2">
        <v>8.2859999999999996</v>
      </c>
      <c r="F70" s="2"/>
      <c r="G70" s="2">
        <v>8.6300000000000008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</row>
    <row r="71" spans="1:22" ht="20" customHeight="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</row>
    <row r="72" spans="1:22" ht="20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</row>
    <row r="73" spans="1:22" ht="20" customHeight="1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</row>
    <row r="74" spans="1:22" ht="20" customHeight="1">
      <c r="A74" s="1"/>
      <c r="B74" s="1"/>
      <c r="C74" s="7" t="s">
        <v>352</v>
      </c>
      <c r="D74" s="7"/>
      <c r="E74" s="8"/>
      <c r="F74" s="8"/>
      <c r="G74" s="8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</row>
    <row r="75" spans="1:22" ht="20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</row>
    <row r="76" spans="1:22" ht="20" customHeight="1">
      <c r="A76" s="1"/>
      <c r="B76" s="1"/>
      <c r="C76" s="1" t="s">
        <v>150</v>
      </c>
      <c r="D76" s="1"/>
      <c r="E76" s="2"/>
      <c r="F76" s="2"/>
      <c r="G76" s="2">
        <v>0.27</v>
      </c>
      <c r="H76" s="2"/>
      <c r="I76" s="2"/>
      <c r="J76" s="2" t="s">
        <v>353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</row>
    <row r="77" spans="1:22" ht="20" customHeight="1">
      <c r="A77" s="1"/>
      <c r="B77" s="1"/>
      <c r="C77" s="1" t="s">
        <v>153</v>
      </c>
      <c r="D77" s="1"/>
      <c r="E77" s="2"/>
      <c r="F77" s="2"/>
      <c r="G77" s="2">
        <v>7.4999999999999997E-2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</row>
    <row r="78" spans="1:22" ht="20" customHeight="1">
      <c r="A78" s="1"/>
      <c r="B78" s="1"/>
      <c r="C78" s="1" t="s">
        <v>354</v>
      </c>
      <c r="D78" s="1"/>
      <c r="E78" s="2"/>
      <c r="F78" s="2"/>
      <c r="G78" s="2">
        <v>-6.6000000000000003E-2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</row>
    <row r="79" spans="1:22" ht="20" customHeight="1">
      <c r="A79" s="1"/>
      <c r="B79" s="1"/>
      <c r="C79" s="1" t="s">
        <v>355</v>
      </c>
      <c r="D79" s="1"/>
      <c r="E79" s="2"/>
      <c r="F79" s="2"/>
      <c r="G79" s="2">
        <v>-0.128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</row>
    <row r="80" spans="1:22" ht="20" customHeight="1">
      <c r="A80" s="1"/>
      <c r="B80" s="1"/>
      <c r="C80" s="1" t="s">
        <v>154</v>
      </c>
      <c r="D80" s="1"/>
      <c r="E80" s="2"/>
      <c r="F80" s="2"/>
      <c r="G80" s="2">
        <v>0.34300000000000003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</row>
    <row r="81" spans="1:22" ht="20" customHeight="1">
      <c r="A81" s="1"/>
      <c r="B81" s="1"/>
      <c r="C81" s="1" t="s">
        <v>356</v>
      </c>
      <c r="D81" s="1"/>
      <c r="E81" s="2"/>
      <c r="F81" s="2"/>
      <c r="G81" s="2">
        <v>1.6E-2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</row>
    <row r="82" spans="1:22" ht="20" customHeight="1">
      <c r="A82" s="1"/>
      <c r="B82" s="1"/>
      <c r="C82" s="1" t="s">
        <v>357</v>
      </c>
      <c r="D82" s="1"/>
      <c r="E82" s="2"/>
      <c r="F82" s="2"/>
      <c r="G82" s="2">
        <v>3.0000000000000001E-3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</row>
    <row r="83" spans="1:22" ht="20" customHeight="1">
      <c r="A83" s="1"/>
      <c r="B83" s="1"/>
      <c r="C83" s="1" t="s">
        <v>358</v>
      </c>
      <c r="D83" s="1"/>
      <c r="E83" s="2"/>
      <c r="F83" s="2"/>
      <c r="G83" s="2">
        <v>0.18099999999999999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</row>
    <row r="84" spans="1:22" ht="20" customHeight="1">
      <c r="A84" s="1"/>
      <c r="B84" s="1"/>
      <c r="C84" s="1" t="s">
        <v>359</v>
      </c>
      <c r="D84" s="1"/>
      <c r="E84" s="2"/>
      <c r="F84" s="2"/>
      <c r="G84" s="2">
        <v>0.05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</row>
    <row r="85" spans="1:22" ht="20" customHeight="1">
      <c r="A85" s="1"/>
      <c r="B85" s="1"/>
      <c r="C85" s="1" t="s">
        <v>360</v>
      </c>
      <c r="D85" s="1"/>
      <c r="E85" s="2"/>
      <c r="F85" s="2"/>
      <c r="G85" s="2">
        <v>-8.9999999999999993E-3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</row>
    <row r="86" spans="1:22" ht="20" customHeight="1">
      <c r="A86" s="1"/>
      <c r="B86" s="1"/>
      <c r="C86" s="1" t="s">
        <v>361</v>
      </c>
      <c r="D86" s="1"/>
      <c r="E86" s="2"/>
      <c r="F86" s="2"/>
      <c r="G86" s="2">
        <v>3.0000000000000001E-3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</row>
    <row r="87" spans="1:22" ht="20" customHeight="1">
      <c r="A87" s="1"/>
      <c r="B87" s="1"/>
      <c r="C87" s="1" t="s">
        <v>362</v>
      </c>
      <c r="D87" s="1"/>
      <c r="E87" s="2"/>
      <c r="F87" s="2"/>
      <c r="G87" s="2">
        <v>-0.107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</row>
    <row r="88" spans="1:22" ht="20" customHeight="1">
      <c r="A88" s="1"/>
      <c r="B88" s="1"/>
      <c r="C88" s="1" t="s">
        <v>363</v>
      </c>
      <c r="D88" s="1"/>
      <c r="E88" s="2"/>
      <c r="F88" s="2"/>
      <c r="G88" s="2">
        <v>-3.0000000000000001E-3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</row>
    <row r="89" spans="1:22" ht="20" customHeight="1">
      <c r="A89" s="1"/>
      <c r="B89" s="1"/>
      <c r="C89" s="1" t="s">
        <v>364</v>
      </c>
      <c r="D89" s="1"/>
      <c r="E89" s="2"/>
      <c r="F89" s="2"/>
      <c r="G89" s="2">
        <v>-1.0999999999999999E-2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</row>
    <row r="90" spans="1:22" ht="20" customHeight="1">
      <c r="A90" s="1"/>
      <c r="B90" s="1"/>
      <c r="C90" s="1" t="s">
        <v>365</v>
      </c>
      <c r="D90" s="1"/>
      <c r="E90" s="2"/>
      <c r="F90" s="2"/>
      <c r="G90" s="2">
        <v>0.28499999999999998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</row>
    <row r="91" spans="1:22" ht="20" customHeight="1">
      <c r="A91" s="1"/>
      <c r="B91" s="1"/>
      <c r="C91" s="1" t="s">
        <v>366</v>
      </c>
      <c r="D91" s="1"/>
      <c r="E91" s="2"/>
      <c r="F91" s="2"/>
      <c r="G91" s="2">
        <v>0.90200000000000002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</row>
    <row r="92" spans="1:22" ht="20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</row>
    <row r="93" spans="1:22" ht="20" customHeight="1">
      <c r="A93" s="1"/>
      <c r="B93" s="1"/>
      <c r="C93" s="1" t="s">
        <v>367</v>
      </c>
      <c r="D93" s="1"/>
      <c r="E93" s="2"/>
      <c r="F93" s="2"/>
      <c r="G93" s="2">
        <v>-0.41499999999999998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</row>
    <row r="94" spans="1:22" ht="20" customHeight="1">
      <c r="A94" s="1"/>
      <c r="B94" s="1"/>
      <c r="C94" s="1" t="s">
        <v>368</v>
      </c>
      <c r="D94" s="1"/>
      <c r="E94" s="2"/>
      <c r="F94" s="2"/>
      <c r="G94" s="2">
        <v>0.435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</row>
    <row r="95" spans="1:22" ht="20" customHeight="1">
      <c r="A95" s="1"/>
      <c r="B95" s="1"/>
      <c r="C95" s="1" t="s">
        <v>369</v>
      </c>
      <c r="D95" s="1"/>
      <c r="E95" s="2"/>
      <c r="F95" s="2"/>
      <c r="G95" s="2">
        <v>-7.3999999999999996E-2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</row>
    <row r="96" spans="1:22" ht="20" customHeight="1">
      <c r="A96" s="1"/>
      <c r="B96" s="1"/>
      <c r="C96" s="1" t="s">
        <v>370</v>
      </c>
      <c r="D96" s="1"/>
      <c r="E96" s="2"/>
      <c r="F96" s="2"/>
      <c r="G96" s="2">
        <v>-1.0999999999999999E-2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</row>
    <row r="97" spans="1:22" ht="20" customHeight="1">
      <c r="A97" s="1"/>
      <c r="B97" s="1"/>
      <c r="C97" s="1" t="s">
        <v>371</v>
      </c>
      <c r="D97" s="1"/>
      <c r="E97" s="2"/>
      <c r="F97" s="2"/>
      <c r="G97" s="2">
        <v>1E-3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</row>
    <row r="98" spans="1:22" ht="20" customHeight="1">
      <c r="A98" s="1"/>
      <c r="B98" s="1"/>
      <c r="C98" s="1" t="s">
        <v>372</v>
      </c>
      <c r="D98" s="1"/>
      <c r="E98" s="2"/>
      <c r="F98" s="2"/>
      <c r="G98" s="2">
        <v>-0.19700000000000001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</row>
    <row r="99" spans="1:22" ht="20" customHeight="1">
      <c r="A99" s="1"/>
      <c r="B99" s="1"/>
      <c r="C99" s="1" t="s">
        <v>373</v>
      </c>
      <c r="D99" s="1"/>
      <c r="E99" s="2"/>
      <c r="F99" s="2"/>
      <c r="G99" s="2">
        <v>-6.0000000000000001E-3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</row>
    <row r="100" spans="1:22" ht="20" customHeight="1">
      <c r="A100" s="1"/>
      <c r="B100" s="1"/>
      <c r="C100" s="1" t="s">
        <v>374</v>
      </c>
      <c r="D100" s="1"/>
      <c r="E100" s="2"/>
      <c r="F100" s="2"/>
      <c r="G100" s="2">
        <v>-0.26700000000000002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</row>
    <row r="101" spans="1:22" ht="20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</row>
    <row r="102" spans="1:22" ht="20" customHeight="1">
      <c r="A102" s="1"/>
      <c r="B102" s="1"/>
      <c r="C102" s="1" t="s">
        <v>329</v>
      </c>
      <c r="D102" s="1"/>
      <c r="E102" s="2"/>
      <c r="F102" s="2"/>
      <c r="G102" s="2">
        <v>-2.9000000000000001E-2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</row>
    <row r="103" spans="1:22" ht="20" customHeight="1">
      <c r="A103" s="1"/>
      <c r="B103" s="1"/>
      <c r="C103" s="1" t="s">
        <v>375</v>
      </c>
      <c r="D103" s="1"/>
      <c r="E103" s="2"/>
      <c r="F103" s="2"/>
      <c r="G103" s="2">
        <v>-1.9E-2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</row>
    <row r="104" spans="1:22" ht="20" customHeight="1">
      <c r="A104" s="1"/>
      <c r="B104" s="1"/>
      <c r="C104" s="1" t="s">
        <v>376</v>
      </c>
      <c r="D104" s="1"/>
      <c r="E104" s="2"/>
      <c r="F104" s="2"/>
      <c r="G104" s="2">
        <v>-0.27800000000000002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</row>
    <row r="105" spans="1:22" ht="20" customHeight="1">
      <c r="A105" s="1"/>
      <c r="B105" s="1"/>
      <c r="C105" s="1" t="s">
        <v>377</v>
      </c>
      <c r="D105" s="1"/>
      <c r="E105" s="2"/>
      <c r="F105" s="2"/>
      <c r="G105" s="2">
        <v>-0.32600000000000001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</row>
    <row r="106" spans="1:22" ht="20" customHeight="1">
      <c r="A106" s="1"/>
      <c r="B106" s="1"/>
      <c r="C106" s="1" t="s">
        <v>378</v>
      </c>
      <c r="D106" s="1"/>
      <c r="E106" s="2"/>
      <c r="F106" s="2"/>
      <c r="G106" s="2">
        <v>-2E-3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</row>
    <row r="107" spans="1:22" ht="20" customHeight="1">
      <c r="A107" s="1"/>
      <c r="B107" s="1"/>
      <c r="C107" s="1" t="s">
        <v>379</v>
      </c>
      <c r="D107" s="1"/>
      <c r="E107" s="2"/>
      <c r="F107" s="2"/>
      <c r="G107" s="2">
        <v>0.307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</row>
    <row r="108" spans="1:22" ht="20" customHeight="1">
      <c r="A108" s="1"/>
      <c r="B108" s="1"/>
      <c r="C108" s="1" t="s">
        <v>173</v>
      </c>
      <c r="D108" s="1"/>
      <c r="E108" s="2"/>
      <c r="F108" s="2"/>
      <c r="G108" s="2">
        <v>2.7509999999999999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</row>
    <row r="109" spans="1:22" ht="20" customHeight="1">
      <c r="A109" s="1"/>
      <c r="B109" s="1"/>
      <c r="C109" s="1" t="s">
        <v>174</v>
      </c>
      <c r="D109" s="1"/>
      <c r="E109" s="2"/>
      <c r="F109" s="2"/>
      <c r="G109" s="2">
        <v>3.0579999999999998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</row>
    <row r="110" spans="1:22" ht="20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</row>
    <row r="111" spans="1:22" ht="20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</row>
    <row r="112" spans="1:22" ht="20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</row>
    <row r="113" spans="1:22" ht="20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</row>
    <row r="114" spans="1:22" ht="20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</row>
    <row r="115" spans="1:22" ht="20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</row>
    <row r="116" spans="1:22" ht="20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</row>
    <row r="117" spans="1:22" ht="20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</row>
    <row r="118" spans="1:22" ht="20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</row>
    <row r="119" spans="1:22" ht="20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</row>
    <row r="120" spans="1:22" ht="20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</row>
    <row r="121" spans="1:22" ht="20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</row>
    <row r="122" spans="1:22" ht="20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</row>
    <row r="123" spans="1:22" ht="20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</row>
    <row r="124" spans="1:22" ht="20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</row>
    <row r="125" spans="1:22" ht="20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</row>
    <row r="126" spans="1:22" ht="20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</row>
    <row r="127" spans="1:22" ht="20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</row>
    <row r="128" spans="1:22" ht="20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</row>
    <row r="129" spans="1:22" ht="20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</row>
    <row r="130" spans="1:22" ht="20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</row>
    <row r="131" spans="1:22" ht="20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</row>
    <row r="132" spans="1:22" ht="20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</row>
    <row r="133" spans="1:22" ht="20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</row>
    <row r="134" spans="1:22" ht="20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</row>
    <row r="135" spans="1:22" ht="20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</row>
    <row r="136" spans="1:22" ht="20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</row>
    <row r="137" spans="1:22" ht="20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</row>
    <row r="138" spans="1:22" ht="20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</row>
    <row r="139" spans="1:22" ht="20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</row>
    <row r="140" spans="1:22" ht="20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</row>
    <row r="141" spans="1:22" ht="20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</row>
    <row r="142" spans="1:22" ht="20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</row>
    <row r="143" spans="1:22" ht="20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</row>
    <row r="144" spans="1:22" ht="20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</row>
    <row r="145" spans="1:22" ht="20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</row>
    <row r="146" spans="1:22" ht="20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</row>
    <row r="147" spans="1:22" ht="20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</row>
    <row r="148" spans="1:22" ht="20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</row>
    <row r="149" spans="1:22" ht="20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85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9" customWidth="1"/>
    <col min="5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380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20" customHeight="1">
      <c r="A8" s="1"/>
      <c r="B8" s="1"/>
      <c r="C8" s="1" t="s">
        <v>381</v>
      </c>
      <c r="D8" s="1"/>
      <c r="E8" s="2">
        <v>227.8</v>
      </c>
      <c r="F8" s="2"/>
      <c r="G8" s="2" t="s">
        <v>382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</row>
    <row r="9" spans="1:22" ht="20" customHeight="1">
      <c r="A9" s="1"/>
      <c r="B9" s="1"/>
      <c r="C9" s="1" t="s">
        <v>10</v>
      </c>
      <c r="D9" s="1"/>
      <c r="E9" s="5">
        <v>46311</v>
      </c>
      <c r="F9" s="2"/>
      <c r="G9" s="2" t="s">
        <v>383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</row>
    <row r="10" spans="1:22" ht="20" customHeight="1">
      <c r="A10" s="1"/>
      <c r="B10" s="1"/>
      <c r="C10" s="1" t="s">
        <v>11</v>
      </c>
      <c r="D10" s="1"/>
      <c r="E10" s="5">
        <v>46676</v>
      </c>
      <c r="F10" s="2"/>
      <c r="G10" s="2" t="s">
        <v>384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</row>
    <row r="11" spans="1:22" ht="20" customHeight="1">
      <c r="A11" s="1"/>
      <c r="B11" s="1"/>
      <c r="C11" s="1" t="s">
        <v>385</v>
      </c>
      <c r="D11" s="1"/>
      <c r="E11" s="5">
        <v>46203</v>
      </c>
      <c r="F11" s="2"/>
      <c r="G11" s="2" t="s">
        <v>386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</row>
    <row r="12" spans="1:22" ht="20" customHeight="1">
      <c r="A12" s="1"/>
      <c r="B12" s="1"/>
      <c r="C12" s="1" t="s">
        <v>387</v>
      </c>
      <c r="D12" s="1"/>
      <c r="E12" s="2">
        <v>293.67</v>
      </c>
      <c r="F12" s="2"/>
      <c r="G12" s="2" t="s">
        <v>388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20" customHeight="1">
      <c r="A13" s="1"/>
      <c r="B13" s="1"/>
      <c r="C13" s="1" t="s">
        <v>389</v>
      </c>
      <c r="D13" s="1"/>
      <c r="E13" s="2">
        <v>1.0680000000000001</v>
      </c>
      <c r="F13" s="2"/>
      <c r="G13" s="2" t="s">
        <v>390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</row>
    <row r="14" spans="1:22" ht="20" customHeight="1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</row>
    <row r="15" spans="1:22" ht="20" customHeight="1">
      <c r="A15" s="1"/>
      <c r="B15" s="1"/>
      <c r="C15" s="1" t="s">
        <v>391</v>
      </c>
      <c r="D15" s="1"/>
      <c r="E15" s="2">
        <v>1.38</v>
      </c>
      <c r="F15" s="2"/>
      <c r="G15" s="2" t="s">
        <v>392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</row>
    <row r="16" spans="1:22" ht="20" customHeight="1">
      <c r="A16" s="1"/>
      <c r="B16" s="1"/>
      <c r="C16" s="1" t="s">
        <v>393</v>
      </c>
      <c r="D16" s="1"/>
      <c r="E16" s="2">
        <v>0.78</v>
      </c>
      <c r="F16" s="2"/>
      <c r="G16" s="2" t="s">
        <v>392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20" customHeight="1">
      <c r="A17" s="1"/>
      <c r="B17" s="1"/>
      <c r="C17" s="1" t="s">
        <v>394</v>
      </c>
      <c r="D17" s="1"/>
      <c r="E17" s="2">
        <v>0.26500000000000001</v>
      </c>
      <c r="F17" s="2"/>
      <c r="G17" s="2" t="s">
        <v>395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"/>
      <c r="V17" s="1"/>
    </row>
    <row r="18" spans="1:22" ht="20" customHeight="1">
      <c r="A18" s="1"/>
      <c r="B18" s="1"/>
      <c r="C18" s="1" t="s">
        <v>396</v>
      </c>
      <c r="D18" s="1"/>
      <c r="E18" s="2">
        <v>3.06</v>
      </c>
      <c r="F18" s="2"/>
      <c r="G18" s="2" t="s">
        <v>397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"/>
      <c r="V18" s="1"/>
    </row>
    <row r="19" spans="1:22" ht="20" customHeight="1">
      <c r="A19" s="1"/>
      <c r="B19" s="1"/>
      <c r="C19" s="1" t="s">
        <v>398</v>
      </c>
      <c r="D19" s="1"/>
      <c r="E19" s="2">
        <v>8.25</v>
      </c>
      <c r="F19" s="2"/>
      <c r="G19" s="2" t="s">
        <v>397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"/>
      <c r="V19" s="1"/>
    </row>
    <row r="20" spans="1:22" ht="20" customHeight="1">
      <c r="A20" s="1"/>
      <c r="B20" s="1"/>
      <c r="C20" s="1" t="s">
        <v>399</v>
      </c>
      <c r="D20" s="1"/>
      <c r="E20" s="2">
        <v>6.06</v>
      </c>
      <c r="F20" s="2"/>
      <c r="G20" s="2" t="s">
        <v>397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"/>
      <c r="V20" s="1"/>
    </row>
    <row r="21" spans="1:22" ht="20" customHeight="1">
      <c r="A21" s="1"/>
      <c r="B21" s="1"/>
      <c r="C21" s="1" t="s">
        <v>400</v>
      </c>
      <c r="D21" s="1"/>
      <c r="E21" s="2">
        <v>2.23</v>
      </c>
      <c r="F21" s="2"/>
      <c r="G21" s="2" t="s">
        <v>397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/>
      <c r="V21" s="1"/>
    </row>
    <row r="22" spans="1:22" ht="20" customHeight="1">
      <c r="A22" s="1"/>
      <c r="B22" s="1"/>
      <c r="C22" s="1" t="s">
        <v>401</v>
      </c>
      <c r="D22" s="1"/>
      <c r="E22" s="2">
        <v>290.70999999999998</v>
      </c>
      <c r="F22" s="2"/>
      <c r="G22" s="2" t="s">
        <v>397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  <c r="V22" s="1"/>
    </row>
    <row r="23" spans="1:22" ht="20" customHeight="1">
      <c r="A23" s="1"/>
      <c r="B23" s="1"/>
      <c r="C23" s="1" t="s">
        <v>402</v>
      </c>
      <c r="D23" s="1"/>
      <c r="E23" s="2">
        <v>0.73299999999999998</v>
      </c>
      <c r="F23" s="2"/>
      <c r="G23" s="2" t="s">
        <v>392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"/>
      <c r="V23" s="1"/>
    </row>
    <row r="24" spans="1:22" ht="20" customHeight="1">
      <c r="A24" s="1"/>
      <c r="B24" s="1"/>
      <c r="C24" s="1" t="s">
        <v>403</v>
      </c>
      <c r="D24" s="1"/>
      <c r="E24" s="2">
        <v>0.53100000000000003</v>
      </c>
      <c r="F24" s="2"/>
      <c r="G24" s="2" t="s">
        <v>392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"/>
      <c r="V24" s="1"/>
    </row>
    <row r="25" spans="1:22" ht="20" customHeight="1">
      <c r="A25" s="1"/>
      <c r="B25" s="1"/>
      <c r="C25" s="1" t="s">
        <v>404</v>
      </c>
      <c r="D25" s="1"/>
      <c r="E25" s="2">
        <v>1.264</v>
      </c>
      <c r="F25" s="2"/>
      <c r="G25" s="2" t="s">
        <v>392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</row>
    <row r="26" spans="1:22" ht="20" customHeight="1">
      <c r="A26" s="1"/>
      <c r="B26" s="1"/>
      <c r="C26" s="1" t="s">
        <v>405</v>
      </c>
      <c r="D26" s="1"/>
      <c r="E26" s="2">
        <v>0.44</v>
      </c>
      <c r="F26" s="2"/>
      <c r="G26" s="2" t="s">
        <v>406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"/>
      <c r="V26" s="1"/>
    </row>
    <row r="27" spans="1:22" ht="20" customHeight="1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"/>
      <c r="V27" s="1"/>
    </row>
    <row r="28" spans="1:22" ht="20" customHeight="1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"/>
      <c r="V28" s="1"/>
    </row>
    <row r="29" spans="1:22" ht="20" customHeight="1">
      <c r="A29" s="1"/>
      <c r="B29" s="1"/>
      <c r="C29" s="7" t="s">
        <v>407</v>
      </c>
      <c r="D29" s="7"/>
      <c r="E29" s="8"/>
      <c r="F29" s="8"/>
      <c r="G29" s="8"/>
      <c r="H29" s="8"/>
      <c r="I29" s="8"/>
      <c r="J29" s="8"/>
      <c r="K29" s="8"/>
      <c r="L29" s="2"/>
      <c r="M29" s="2"/>
      <c r="N29" s="2"/>
      <c r="O29" s="2"/>
      <c r="P29" s="2"/>
      <c r="Q29" s="2"/>
      <c r="R29" s="2"/>
      <c r="S29" s="2"/>
      <c r="T29" s="2"/>
      <c r="U29" s="1"/>
      <c r="V29" s="1"/>
    </row>
    <row r="30" spans="1:22" ht="20" customHeight="1">
      <c r="A30" s="1"/>
      <c r="B30" s="1"/>
      <c r="C30" s="13" t="s">
        <v>257</v>
      </c>
      <c r="D30" s="13" t="s">
        <v>258</v>
      </c>
      <c r="E30" s="12" t="s">
        <v>408</v>
      </c>
      <c r="F30" s="12" t="s">
        <v>409</v>
      </c>
      <c r="G30" s="12" t="s">
        <v>261</v>
      </c>
      <c r="H30" s="12" t="s">
        <v>410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</row>
    <row r="31" spans="1:22" ht="20" customHeight="1">
      <c r="A31" s="1"/>
      <c r="B31" s="1"/>
      <c r="C31" s="1" t="s">
        <v>411</v>
      </c>
      <c r="D31" s="1" t="s">
        <v>412</v>
      </c>
      <c r="E31" s="2">
        <v>227.8</v>
      </c>
      <c r="F31" s="2">
        <v>3.06</v>
      </c>
      <c r="G31" s="5">
        <v>46843</v>
      </c>
      <c r="H31" s="2" t="s">
        <v>397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</row>
    <row r="32" spans="1:22" ht="20" customHeight="1">
      <c r="A32" s="1"/>
      <c r="B32" s="1"/>
      <c r="C32" s="1" t="s">
        <v>413</v>
      </c>
      <c r="D32" s="1" t="s">
        <v>413</v>
      </c>
      <c r="E32" s="2">
        <v>528.75</v>
      </c>
      <c r="F32" s="2">
        <v>15.76</v>
      </c>
      <c r="G32" s="5">
        <v>46752</v>
      </c>
      <c r="H32" s="2" t="s">
        <v>414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"/>
      <c r="V32" s="1"/>
    </row>
    <row r="33" spans="1:22" ht="20" customHeight="1">
      <c r="A33" s="1"/>
      <c r="B33" s="1"/>
      <c r="C33" s="1" t="s">
        <v>415</v>
      </c>
      <c r="D33" s="1" t="s">
        <v>416</v>
      </c>
      <c r="E33" s="2">
        <v>319.51</v>
      </c>
      <c r="F33" s="2">
        <v>9.57</v>
      </c>
      <c r="G33" s="5">
        <v>46752</v>
      </c>
      <c r="H33" s="2" t="s">
        <v>417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"/>
      <c r="V33" s="1"/>
    </row>
    <row r="34" spans="1:22" ht="20" customHeight="1">
      <c r="A34" s="1"/>
      <c r="B34" s="1"/>
      <c r="C34" s="1" t="s">
        <v>418</v>
      </c>
      <c r="D34" s="1" t="s">
        <v>419</v>
      </c>
      <c r="E34" s="2">
        <v>454.63</v>
      </c>
      <c r="F34" s="2">
        <v>18.670000000000002</v>
      </c>
      <c r="G34" s="5">
        <v>46691</v>
      </c>
      <c r="H34" s="2" t="s">
        <v>420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</row>
    <row r="35" spans="1:22" ht="20" customHeight="1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</row>
    <row r="36" spans="1:22" ht="20" customHeight="1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</row>
    <row r="37" spans="1:22" ht="20" customHeight="1">
      <c r="A37" s="1"/>
      <c r="B37" s="1"/>
      <c r="C37" s="7" t="s">
        <v>421</v>
      </c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2"/>
      <c r="P37" s="2"/>
      <c r="Q37" s="2"/>
      <c r="R37" s="2"/>
      <c r="S37" s="2"/>
      <c r="T37" s="2"/>
      <c r="U37" s="1"/>
      <c r="V37" s="1"/>
    </row>
    <row r="38" spans="1:22" ht="20" customHeight="1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</row>
    <row r="39" spans="1:22" ht="20" customHeight="1">
      <c r="A39" s="1"/>
      <c r="B39" s="1"/>
      <c r="C39" s="1" t="s">
        <v>422</v>
      </c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</row>
    <row r="40" spans="1:22" ht="20" customHeight="1">
      <c r="A40" s="1"/>
      <c r="B40" s="1"/>
      <c r="C40" s="1" t="s">
        <v>423</v>
      </c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</row>
    <row r="41" spans="1:22" ht="20" customHeight="1">
      <c r="A41" s="1"/>
      <c r="B41" s="1"/>
      <c r="C41" s="1" t="s">
        <v>424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</row>
    <row r="42" spans="1:22" ht="20" customHeight="1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</row>
    <row r="43" spans="1:22" ht="20" customHeight="1">
      <c r="A43" s="1"/>
      <c r="B43" s="1"/>
      <c r="C43" s="1" t="s">
        <v>425</v>
      </c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</row>
    <row r="44" spans="1:22" ht="20" customHeight="1">
      <c r="A44" s="1"/>
      <c r="B44" s="1"/>
      <c r="C44" s="1" t="s">
        <v>426</v>
      </c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</row>
    <row r="45" spans="1:22" ht="20" customHeight="1">
      <c r="A45" s="1"/>
      <c r="B45" s="1"/>
      <c r="C45" s="1" t="s">
        <v>427</v>
      </c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</row>
    <row r="46" spans="1:22" ht="20" customHeight="1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</row>
    <row r="47" spans="1:22" ht="20" customHeight="1">
      <c r="A47" s="1"/>
      <c r="B47" s="1"/>
      <c r="C47" s="1" t="s">
        <v>428</v>
      </c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</row>
    <row r="48" spans="1:22" ht="20" customHeight="1">
      <c r="A48" s="1"/>
      <c r="B48" s="1"/>
      <c r="C48" s="1" t="s">
        <v>429</v>
      </c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</row>
    <row r="49" spans="1:22" ht="20" customHeight="1">
      <c r="A49" s="1"/>
      <c r="B49" s="1"/>
      <c r="C49" s="1" t="s">
        <v>430</v>
      </c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</row>
    <row r="50" spans="1:22" ht="20" customHeight="1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</row>
    <row r="51" spans="1:22" ht="20" customHeight="1">
      <c r="A51" s="1"/>
      <c r="B51" s="1"/>
      <c r="C51" s="1" t="s">
        <v>431</v>
      </c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</row>
    <row r="52" spans="1:22" ht="20" customHeight="1">
      <c r="A52" s="1"/>
      <c r="B52" s="1"/>
      <c r="C52" s="1" t="s">
        <v>432</v>
      </c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</row>
    <row r="53" spans="1:22" ht="20" customHeight="1">
      <c r="A53" s="1"/>
      <c r="B53" s="1"/>
      <c r="C53" s="1" t="s">
        <v>433</v>
      </c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</row>
    <row r="54" spans="1:22" ht="20" customHeight="1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</row>
    <row r="55" spans="1:22" ht="20" customHeight="1">
      <c r="A55" s="1"/>
      <c r="B55" s="1"/>
      <c r="C55" s="1" t="s">
        <v>434</v>
      </c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</row>
    <row r="56" spans="1:22" ht="20" customHeight="1">
      <c r="A56" s="1"/>
      <c r="B56" s="1"/>
      <c r="C56" s="1" t="s">
        <v>435</v>
      </c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</row>
    <row r="57" spans="1:22" ht="20" customHeight="1">
      <c r="A57" s="1"/>
      <c r="B57" s="1"/>
      <c r="C57" s="1" t="s">
        <v>436</v>
      </c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</row>
    <row r="58" spans="1:22" ht="20" customHeight="1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</row>
    <row r="59" spans="1:22" ht="20" customHeight="1">
      <c r="A59" s="1"/>
      <c r="B59" s="1"/>
      <c r="C59" s="1" t="s">
        <v>437</v>
      </c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</row>
    <row r="60" spans="1:22" ht="20" customHeight="1">
      <c r="A60" s="1"/>
      <c r="B60" s="1"/>
      <c r="C60" s="1" t="s">
        <v>438</v>
      </c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</row>
    <row r="61" spans="1:22" ht="20" customHeight="1">
      <c r="A61" s="1"/>
      <c r="B61" s="1"/>
      <c r="C61" s="1" t="s">
        <v>439</v>
      </c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</row>
    <row r="62" spans="1:22" ht="20" customHeight="1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</row>
    <row r="63" spans="1:22" ht="20" customHeight="1">
      <c r="A63" s="1"/>
      <c r="B63" s="1"/>
      <c r="C63" s="1" t="s">
        <v>440</v>
      </c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</row>
    <row r="64" spans="1:22" ht="20" customHeight="1">
      <c r="A64" s="1"/>
      <c r="B64" s="1"/>
      <c r="C64" s="1" t="s">
        <v>441</v>
      </c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</row>
    <row r="65" spans="1:22" ht="20" customHeight="1">
      <c r="A65" s="1"/>
      <c r="B65" s="1"/>
      <c r="C65" s="1" t="s">
        <v>442</v>
      </c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</row>
    <row r="66" spans="1:22" ht="20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</row>
    <row r="67" spans="1:22" ht="20" customHeight="1">
      <c r="A67" s="1"/>
      <c r="B67" s="1"/>
      <c r="C67" s="1" t="s">
        <v>443</v>
      </c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</row>
    <row r="68" spans="1:22" ht="20" customHeight="1">
      <c r="A68" s="1"/>
      <c r="B68" s="1"/>
      <c r="C68" s="1" t="s">
        <v>444</v>
      </c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</row>
    <row r="69" spans="1:22" ht="20" customHeight="1">
      <c r="A69" s="1"/>
      <c r="B69" s="1"/>
      <c r="C69" s="1" t="s">
        <v>445</v>
      </c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</row>
    <row r="70" spans="1:22" ht="20" customHeight="1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</row>
    <row r="71" spans="1:22" ht="20" customHeight="1">
      <c r="A71" s="1"/>
      <c r="B71" s="1"/>
      <c r="C71" s="1" t="s">
        <v>446</v>
      </c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</row>
    <row r="72" spans="1:22" ht="20" customHeight="1">
      <c r="A72" s="1"/>
      <c r="B72" s="1"/>
      <c r="C72" s="1" t="s">
        <v>447</v>
      </c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</row>
    <row r="73" spans="1:22" ht="20" customHeight="1">
      <c r="A73" s="1"/>
      <c r="B73" s="1"/>
      <c r="C73" s="1" t="s">
        <v>448</v>
      </c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</row>
    <row r="74" spans="1:22" ht="20" customHeight="1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</row>
    <row r="75" spans="1:22" ht="20" customHeight="1">
      <c r="A75" s="1"/>
      <c r="B75" s="1"/>
      <c r="C75" s="1" t="s">
        <v>449</v>
      </c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</row>
    <row r="76" spans="1:22" ht="20" customHeight="1">
      <c r="A76" s="1"/>
      <c r="B76" s="1"/>
      <c r="C76" s="1" t="s">
        <v>450</v>
      </c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</row>
    <row r="77" spans="1:22" ht="20" customHeight="1">
      <c r="A77" s="1"/>
      <c r="B77" s="1"/>
      <c r="C77" s="1" t="s">
        <v>451</v>
      </c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</row>
    <row r="78" spans="1:22" ht="20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</row>
    <row r="79" spans="1:22" ht="20" customHeight="1">
      <c r="A79" s="1"/>
      <c r="B79" s="1"/>
      <c r="C79" s="1" t="s">
        <v>452</v>
      </c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</row>
    <row r="80" spans="1:22" ht="20" customHeight="1">
      <c r="A80" s="1"/>
      <c r="B80" s="1"/>
      <c r="C80" s="1" t="s">
        <v>453</v>
      </c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</row>
    <row r="81" spans="1:22" ht="20" customHeight="1">
      <c r="A81" s="1"/>
      <c r="B81" s="1"/>
      <c r="C81" s="1" t="s">
        <v>454</v>
      </c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</row>
    <row r="82" spans="1:22" ht="20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</row>
    <row r="83" spans="1:22" ht="20" customHeight="1">
      <c r="A83" s="1"/>
      <c r="B83" s="1"/>
      <c r="C83" s="1" t="s">
        <v>455</v>
      </c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</row>
    <row r="84" spans="1:22" ht="20" customHeight="1">
      <c r="A84" s="1"/>
      <c r="B84" s="1"/>
      <c r="C84" s="1" t="s">
        <v>456</v>
      </c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</row>
    <row r="85" spans="1:22" ht="20" customHeight="1">
      <c r="A85" s="1"/>
      <c r="B85" s="1"/>
      <c r="C85" s="1" t="s">
        <v>454</v>
      </c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</row>
    <row r="86" spans="1:22" ht="20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</row>
    <row r="87" spans="1:22" ht="20" customHeight="1">
      <c r="A87" s="1"/>
      <c r="B87" s="1"/>
      <c r="C87" s="1" t="s">
        <v>457</v>
      </c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</row>
    <row r="88" spans="1:22" ht="20" customHeight="1">
      <c r="A88" s="1"/>
      <c r="B88" s="1"/>
      <c r="C88" s="1" t="s">
        <v>458</v>
      </c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</row>
    <row r="89" spans="1:22" ht="20" customHeight="1">
      <c r="A89" s="1"/>
      <c r="B89" s="1"/>
      <c r="C89" s="1" t="s">
        <v>454</v>
      </c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</row>
    <row r="90" spans="1:22" ht="20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</row>
    <row r="91" spans="1:22" ht="20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</row>
    <row r="92" spans="1:22" ht="20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</row>
    <row r="93" spans="1:22" ht="21" customHeight="1">
      <c r="A93" s="1"/>
      <c r="B93" s="1"/>
      <c r="C93" s="1" t="s">
        <v>459</v>
      </c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</row>
    <row r="94" spans="1:22" ht="21" customHeight="1">
      <c r="A94" s="1"/>
      <c r="B94" s="1"/>
      <c r="C94" s="1" t="s">
        <v>460</v>
      </c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</row>
    <row r="95" spans="1:22" ht="21" customHeight="1">
      <c r="A95" s="1"/>
      <c r="B95" s="1"/>
      <c r="C95" s="1" t="s">
        <v>461</v>
      </c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</row>
    <row r="96" spans="1:22" ht="20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</row>
    <row r="97" spans="1:22" ht="20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</row>
    <row r="98" spans="1:22" ht="20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</row>
    <row r="99" spans="1:22" ht="20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</row>
    <row r="100" spans="1:22" ht="20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</row>
    <row r="101" spans="1:22" ht="20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</row>
    <row r="102" spans="1:22" ht="20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</row>
    <row r="103" spans="1:22" ht="20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</row>
    <row r="104" spans="1:22" ht="20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</row>
    <row r="105" spans="1:22" ht="20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</row>
    <row r="106" spans="1:22" ht="20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</row>
    <row r="107" spans="1:22" ht="20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</row>
    <row r="108" spans="1:22" ht="20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</row>
    <row r="109" spans="1:22" ht="20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</row>
    <row r="110" spans="1:22" ht="20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</row>
    <row r="111" spans="1:22" ht="20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</row>
    <row r="112" spans="1:22" ht="20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</row>
    <row r="113" spans="1:22" ht="20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</row>
    <row r="114" spans="1:22" ht="20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</row>
    <row r="115" spans="1:22" ht="20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</row>
    <row r="116" spans="1:22" ht="20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</row>
    <row r="117" spans="1:22" ht="20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</row>
    <row r="118" spans="1:22" ht="20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</row>
    <row r="119" spans="1:22" ht="20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</row>
    <row r="120" spans="1:22" ht="20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</row>
    <row r="121" spans="1:22" ht="20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</row>
    <row r="122" spans="1:22" ht="20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</row>
    <row r="123" spans="1:22" ht="20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</row>
    <row r="124" spans="1:22" ht="20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</row>
    <row r="125" spans="1:22" ht="20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</row>
    <row r="126" spans="1:22" ht="20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</row>
    <row r="127" spans="1:22" ht="20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</row>
    <row r="128" spans="1:22" ht="20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</row>
    <row r="129" spans="1:22" ht="20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</row>
    <row r="130" spans="1:22" ht="20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</row>
    <row r="131" spans="1:22" ht="20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</row>
    <row r="132" spans="1:22" ht="20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</row>
    <row r="133" spans="1:22" ht="20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</row>
    <row r="134" spans="1:22" ht="20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</row>
    <row r="135" spans="1:22" ht="20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</row>
    <row r="136" spans="1:22" ht="20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</row>
    <row r="137" spans="1:22" ht="20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</row>
    <row r="138" spans="1:22" ht="20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</row>
    <row r="139" spans="1:22" ht="20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</row>
    <row r="140" spans="1:22" ht="20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</row>
    <row r="141" spans="1:22" ht="20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</row>
    <row r="142" spans="1:22" ht="20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</row>
    <row r="143" spans="1:22" ht="20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</row>
    <row r="144" spans="1:22" ht="20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</row>
    <row r="145" spans="1:22" ht="20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</row>
    <row r="146" spans="1:22" ht="20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</row>
    <row r="147" spans="1:22" ht="20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</row>
    <row r="148" spans="1:22" ht="20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</row>
    <row r="149" spans="1:22" ht="20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  <row r="183" spans="1:22" ht="20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</row>
    <row r="184" spans="1:22" ht="20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</row>
    <row r="185" spans="1:22" ht="20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82"/>
  <sheetViews>
    <sheetView showGridLines="0" tabSelected="1" workbookViewId="0">
      <pane xSplit="4" ySplit="7" topLeftCell="E8" activePane="bottomRight" state="frozen"/>
      <selection pane="topRight"/>
      <selection pane="bottomLeft"/>
      <selection pane="bottomRight" activeCell="H14" sqref="H14"/>
    </sheetView>
  </sheetViews>
  <sheetFormatPr baseColWidth="10" defaultColWidth="8.83203125" defaultRowHeight="14"/>
  <cols>
    <col min="1" max="2" width="2.1640625" customWidth="1"/>
    <col min="3" max="3" width="42" customWidth="1"/>
    <col min="4" max="4" width="3" customWidth="1"/>
    <col min="5" max="7" width="13" customWidth="1"/>
    <col min="8" max="8" width="20" customWidth="1"/>
    <col min="9" max="20" width="13" customWidth="1"/>
  </cols>
  <sheetData>
    <row r="1" spans="1:22" ht="20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</row>
    <row r="2" spans="1:22" ht="20" customHeight="1">
      <c r="A2" s="1"/>
      <c r="B2" s="1"/>
      <c r="C2" s="20" t="s">
        <v>462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</row>
    <row r="3" spans="1:22" ht="20" customHeight="1">
      <c r="A3" s="1"/>
      <c r="B3" s="1"/>
      <c r="C3" s="21" t="s">
        <v>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</row>
    <row r="4" spans="1:22" ht="20" customHeight="1">
      <c r="A4" s="1"/>
      <c r="B4" s="1"/>
      <c r="C4" s="1" t="s">
        <v>2</v>
      </c>
      <c r="D4" s="1"/>
      <c r="E4" s="2" t="str">
        <f>CHOOSE(Assumptions!$E$5,"Bear","Base","Bull")</f>
        <v>Base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</row>
    <row r="5" spans="1:22" ht="20" customHeight="1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</row>
    <row r="6" spans="1:22" ht="20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</row>
    <row r="7" spans="1:22" ht="20" customHeight="1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20" customHeight="1">
      <c r="A8" s="1"/>
      <c r="B8" s="1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</row>
    <row r="9" spans="1:22" ht="20" customHeight="1">
      <c r="A9" s="1"/>
      <c r="B9" s="1"/>
      <c r="C9" s="1" t="s">
        <v>463</v>
      </c>
      <c r="D9" s="1"/>
      <c r="E9" s="11">
        <f>SUM(Historical!G38:G51)-Historical!G52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</row>
    <row r="10" spans="1:22" ht="20" customHeight="1">
      <c r="A10" s="1"/>
      <c r="B10" s="1"/>
      <c r="C10" s="1" t="s">
        <v>464</v>
      </c>
      <c r="D10" s="1"/>
      <c r="E10" s="11">
        <f>SUM(Historical!G54:G63)-Historical!G64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</row>
    <row r="11" spans="1:22" ht="20" customHeight="1">
      <c r="A11" s="1"/>
      <c r="B11" s="1"/>
      <c r="C11" s="1" t="s">
        <v>465</v>
      </c>
      <c r="D11" s="1"/>
      <c r="E11" s="11">
        <f>SUM(Historical!G66:G69)-Historical!G70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</row>
    <row r="12" spans="1:22" ht="20" customHeight="1">
      <c r="A12" s="1"/>
      <c r="B12" s="1"/>
      <c r="C12" s="1" t="s">
        <v>466</v>
      </c>
      <c r="D12" s="1"/>
      <c r="E12" s="11">
        <f>Historical!G52-Historical!G64-Historical!G70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</row>
    <row r="13" spans="1:22" ht="20" customHeight="1">
      <c r="A13" s="1"/>
      <c r="B13" s="1"/>
      <c r="C13" s="1" t="s">
        <v>467</v>
      </c>
      <c r="D13" s="1"/>
      <c r="E13" s="11">
        <f>SUM(Historical!G76:G90)-Historical!G91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</row>
    <row r="14" spans="1:22" ht="20" customHeight="1">
      <c r="A14" s="1"/>
      <c r="B14" s="1"/>
      <c r="C14" s="1" t="s">
        <v>468</v>
      </c>
      <c r="D14" s="1"/>
      <c r="E14" s="11">
        <f>SUM(Historical!G93:G99)-Historical!G100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</row>
    <row r="15" spans="1:22" ht="20" customHeight="1">
      <c r="A15" s="1"/>
      <c r="B15" s="1"/>
      <c r="C15" s="1" t="s">
        <v>469</v>
      </c>
      <c r="D15" s="1"/>
      <c r="E15" s="11">
        <f>SUM(Historical!G102:G104)-Historical!G105</f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</row>
    <row r="16" spans="1:22" ht="20" customHeight="1">
      <c r="A16" s="1"/>
      <c r="B16" s="1"/>
      <c r="C16" s="1" t="s">
        <v>470</v>
      </c>
      <c r="D16" s="1"/>
      <c r="E16" s="11">
        <f>SUM(Historical!G91,Historical!G100,Historical!G105:G106)-Historical!G107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"/>
      <c r="V16" s="1"/>
    </row>
    <row r="17" spans="1:22" ht="20" customHeight="1">
      <c r="A17" s="1"/>
      <c r="B17" s="1"/>
      <c r="C17" s="1" t="s">
        <v>471</v>
      </c>
      <c r="D17" s="1"/>
      <c r="E17" s="11">
        <f>SUM(Historical!G108,Historical!G107)-Historical!G109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"/>
      <c r="V17" s="1"/>
    </row>
    <row r="18" spans="1:22" ht="20" customHeight="1">
      <c r="A18" s="1"/>
      <c r="B18" s="1"/>
      <c r="C18" s="1" t="s">
        <v>472</v>
      </c>
      <c r="D18" s="1"/>
      <c r="E18" s="11">
        <f>SUM(Statements!E9:H9)-Operating!E13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"/>
      <c r="V18" s="1"/>
    </row>
    <row r="19" spans="1:22" ht="20" customHeight="1">
      <c r="A19" s="1"/>
      <c r="B19" s="1"/>
      <c r="C19" s="1" t="s">
        <v>473</v>
      </c>
      <c r="D19" s="1"/>
      <c r="E19" s="11">
        <f>SUM(Statements!E17:H17)-Operating!E26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"/>
      <c r="V19" s="1"/>
    </row>
    <row r="20" spans="1:22" ht="20" customHeight="1">
      <c r="A20" s="1"/>
      <c r="B20" s="1"/>
      <c r="C20" s="1" t="s">
        <v>474</v>
      </c>
      <c r="D20" s="1"/>
      <c r="E20" s="11">
        <f>SUM(Statements!I9:L9)-Operating!F13</f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"/>
      <c r="V20" s="1"/>
    </row>
    <row r="21" spans="1:22" ht="20" customHeight="1">
      <c r="A21" s="1"/>
      <c r="B21" s="1"/>
      <c r="C21" s="1" t="s">
        <v>475</v>
      </c>
      <c r="D21" s="1"/>
      <c r="E21" s="11">
        <f>SUM(Statements!I17:L17)-Operating!F26</f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/>
      <c r="V21" s="1"/>
    </row>
    <row r="22" spans="1:22" ht="20" customHeight="1">
      <c r="A22" s="1"/>
      <c r="B22" s="1"/>
      <c r="C22" s="1" t="s">
        <v>476</v>
      </c>
      <c r="D22" s="1"/>
      <c r="E22" s="11">
        <f>IF(Assumptions!E5=2,DCF!G73-DCF!E53,0)</f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"/>
      <c r="V22" s="1"/>
    </row>
    <row r="23" spans="1:22" ht="20" customHeight="1">
      <c r="A23" s="1"/>
      <c r="B23" s="1"/>
      <c r="C23" s="1" t="s">
        <v>477</v>
      </c>
      <c r="D23" s="1"/>
      <c r="E23" s="11">
        <f>DCF!E51-(Statements!J48+Statements!E51+(Statements!K48-Statements!J48)*DCF!K25)</f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"/>
      <c r="V23" s="1"/>
    </row>
    <row r="24" spans="1:22" ht="20" customHeight="1">
      <c r="A24" s="1"/>
      <c r="B24" s="1"/>
      <c r="C24" s="1" t="s">
        <v>478</v>
      </c>
      <c r="D24" s="1"/>
      <c r="E24" s="11">
        <f>Assumptions!E28-1</f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"/>
      <c r="V24" s="1"/>
    </row>
    <row r="25" spans="1:22" ht="20" customHeight="1">
      <c r="A25" s="1"/>
      <c r="B25" s="1"/>
      <c r="C25" s="1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</row>
    <row r="26" spans="1:22" ht="20" customHeight="1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"/>
      <c r="V26" s="1"/>
    </row>
    <row r="27" spans="1:22" ht="20" customHeight="1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"/>
      <c r="V27" s="1"/>
    </row>
    <row r="28" spans="1:22" ht="20" customHeight="1">
      <c r="A28" s="1"/>
      <c r="B28" s="1"/>
      <c r="C28" s="1"/>
      <c r="D28" s="1"/>
      <c r="E28" s="2"/>
      <c r="F28" s="2" t="s">
        <v>133</v>
      </c>
      <c r="G28" s="2" t="s">
        <v>134</v>
      </c>
      <c r="H28" s="2" t="s">
        <v>135</v>
      </c>
      <c r="I28" s="2" t="s">
        <v>136</v>
      </c>
      <c r="J28" s="2" t="s">
        <v>137</v>
      </c>
      <c r="K28" s="2" t="s">
        <v>138</v>
      </c>
      <c r="L28" s="2" t="s">
        <v>139</v>
      </c>
      <c r="M28" s="2" t="s">
        <v>21</v>
      </c>
      <c r="N28" s="2" t="s">
        <v>22</v>
      </c>
      <c r="O28" s="2" t="s">
        <v>23</v>
      </c>
      <c r="P28" s="2" t="s">
        <v>24</v>
      </c>
      <c r="Q28" s="2" t="s">
        <v>25</v>
      </c>
      <c r="R28" s="2" t="s">
        <v>26</v>
      </c>
      <c r="S28" s="2" t="s">
        <v>27</v>
      </c>
      <c r="T28" s="2" t="s">
        <v>28</v>
      </c>
      <c r="U28" s="1"/>
      <c r="V28" s="1"/>
    </row>
    <row r="29" spans="1:22" ht="20" customHeight="1">
      <c r="A29" s="1"/>
      <c r="B29" s="1"/>
      <c r="C29" s="1" t="s">
        <v>196</v>
      </c>
      <c r="D29" s="1"/>
      <c r="E29" s="2"/>
      <c r="F29" s="11">
        <f>Statements!F76</f>
        <v>0</v>
      </c>
      <c r="G29" s="11">
        <f>Statements!G76</f>
        <v>0</v>
      </c>
      <c r="H29" s="11">
        <f>Statements!H76</f>
        <v>0</v>
      </c>
      <c r="I29" s="11">
        <f>Statements!I76</f>
        <v>0</v>
      </c>
      <c r="J29" s="11">
        <f>Statements!J76</f>
        <v>0</v>
      </c>
      <c r="K29" s="11">
        <f>Statements!K76</f>
        <v>0</v>
      </c>
      <c r="L29" s="11">
        <f>Statements!L76</f>
        <v>0</v>
      </c>
      <c r="M29" s="11">
        <f>Statements!M76</f>
        <v>0</v>
      </c>
      <c r="N29" s="11">
        <f>Statements!N76</f>
        <v>0</v>
      </c>
      <c r="O29" s="11">
        <f>Statements!O76</f>
        <v>0</v>
      </c>
      <c r="P29" s="11">
        <f>Statements!P76</f>
        <v>0</v>
      </c>
      <c r="Q29" s="11">
        <f>Statements!Q76</f>
        <v>0</v>
      </c>
      <c r="R29" s="11">
        <f>Statements!R76</f>
        <v>0</v>
      </c>
      <c r="S29" s="11">
        <f>Statements!S76</f>
        <v>0</v>
      </c>
      <c r="T29" s="11">
        <f>Statements!T76</f>
        <v>0</v>
      </c>
      <c r="U29" s="1"/>
      <c r="V29" s="1"/>
    </row>
    <row r="30" spans="1:22" ht="20" customHeight="1">
      <c r="A30" s="1"/>
      <c r="B30" s="1"/>
      <c r="C30" s="1" t="s">
        <v>479</v>
      </c>
      <c r="D30" s="1"/>
      <c r="E30" s="2"/>
      <c r="F30" s="11">
        <f>Statements!F77</f>
        <v>2.2204460492503131E-16</v>
      </c>
      <c r="G30" s="11">
        <f>Statements!G77</f>
        <v>-1.6653345369377348E-16</v>
      </c>
      <c r="H30" s="11">
        <f>Statements!H77</f>
        <v>3.8857805861880479E-16</v>
      </c>
      <c r="I30" s="11">
        <f>Statements!I77</f>
        <v>0</v>
      </c>
      <c r="J30" s="11">
        <f>Statements!J77</f>
        <v>0</v>
      </c>
      <c r="K30" s="11">
        <f>Statements!K77</f>
        <v>-3.8857805861880479E-16</v>
      </c>
      <c r="L30" s="11">
        <f>Statements!L77</f>
        <v>4.9960036108132044E-16</v>
      </c>
      <c r="M30" s="11">
        <f>Statements!M77</f>
        <v>0</v>
      </c>
      <c r="N30" s="11">
        <f>Statements!N77</f>
        <v>0</v>
      </c>
      <c r="O30" s="11">
        <f>Statements!O77</f>
        <v>0</v>
      </c>
      <c r="P30" s="11">
        <f>Statements!P77</f>
        <v>0</v>
      </c>
      <c r="Q30" s="11">
        <f>Statements!Q77</f>
        <v>0</v>
      </c>
      <c r="R30" s="11">
        <f>Statements!R77</f>
        <v>0</v>
      </c>
      <c r="S30" s="11">
        <f>Statements!S77</f>
        <v>0</v>
      </c>
      <c r="T30" s="11">
        <f>Statements!T77</f>
        <v>0</v>
      </c>
      <c r="U30" s="1"/>
      <c r="V30" s="1"/>
    </row>
    <row r="31" spans="1:22" ht="20" customHeight="1">
      <c r="A31" s="1"/>
      <c r="B31" s="1"/>
      <c r="C31" s="1" t="s">
        <v>480</v>
      </c>
      <c r="D31" s="1"/>
      <c r="E31" s="2"/>
      <c r="F31" s="11">
        <f>Statements!F29-Statements!F28-Statements!F27+Statements!F25</f>
        <v>1.3877787807814457E-16</v>
      </c>
      <c r="G31" s="11">
        <f>Statements!G29-Statements!G28-Statements!G27+Statements!G25</f>
        <v>0</v>
      </c>
      <c r="H31" s="11">
        <f>Statements!H29-Statements!H28-Statements!H27+Statements!H25</f>
        <v>0</v>
      </c>
      <c r="I31" s="11">
        <f>Statements!I29-Statements!I28-Statements!I27+Statements!I25</f>
        <v>0</v>
      </c>
      <c r="J31" s="11">
        <f>Statements!J29-Statements!J28-Statements!J27+Statements!J25</f>
        <v>0</v>
      </c>
      <c r="K31" s="11">
        <f>Statements!K29-Statements!K28-Statements!K27+Statements!K25</f>
        <v>-1.2490009027033011E-16</v>
      </c>
      <c r="L31" s="11">
        <f>Statements!L29-Statements!L28-Statements!L27+Statements!L25</f>
        <v>0</v>
      </c>
      <c r="M31" s="11">
        <f>Statements!M29-Statements!M28-Statements!M27+Statements!M25</f>
        <v>0</v>
      </c>
      <c r="N31" s="11">
        <f>Statements!N29-Statements!N28-Statements!N27+Statements!N25</f>
        <v>0</v>
      </c>
      <c r="O31" s="11">
        <f>Statements!O29-Statements!O28-Statements!O27+Statements!O25</f>
        <v>0</v>
      </c>
      <c r="P31" s="11">
        <f>Statements!P29-Statements!P28-Statements!P27+Statements!P25</f>
        <v>0</v>
      </c>
      <c r="Q31" s="11">
        <f>Statements!Q29-Statements!Q28-Statements!Q27+Statements!Q25</f>
        <v>0</v>
      </c>
      <c r="R31" s="11">
        <f>Statements!R29-Statements!R28-Statements!R27+Statements!R25</f>
        <v>0</v>
      </c>
      <c r="S31" s="11">
        <f>Statements!S29-Statements!S28-Statements!S27+Statements!S25</f>
        <v>0</v>
      </c>
      <c r="T31" s="11">
        <f>Statements!T29-Statements!T28-Statements!T27+Statements!T25</f>
        <v>0</v>
      </c>
      <c r="U31" s="1"/>
      <c r="V31" s="1"/>
    </row>
    <row r="32" spans="1:22" ht="20" customHeight="1">
      <c r="A32" s="1"/>
      <c r="B32" s="1"/>
      <c r="C32" s="1" t="s">
        <v>481</v>
      </c>
      <c r="D32" s="1"/>
      <c r="E32" s="2"/>
      <c r="F32" s="11">
        <f>Statements!F48-Statements!F47-Statements!F46</f>
        <v>0</v>
      </c>
      <c r="G32" s="11">
        <f>Statements!G48-Statements!G47-Statements!G46</f>
        <v>5.5511151231257827E-17</v>
      </c>
      <c r="H32" s="11">
        <f>Statements!H48-Statements!H47-Statements!H46</f>
        <v>0</v>
      </c>
      <c r="I32" s="11">
        <f>Statements!I48-Statements!I47-Statements!I46</f>
        <v>0</v>
      </c>
      <c r="J32" s="11">
        <f>Statements!J48-Statements!J47-Statements!J46</f>
        <v>0</v>
      </c>
      <c r="K32" s="11">
        <f>Statements!K48-Statements!K47-Statements!K46</f>
        <v>0</v>
      </c>
      <c r="L32" s="11">
        <f>Statements!L48-Statements!L47-Statements!L46</f>
        <v>0</v>
      </c>
      <c r="M32" s="11">
        <f>Statements!M48-Statements!M47-Statements!M46</f>
        <v>0</v>
      </c>
      <c r="N32" s="11">
        <f>Statements!N48-Statements!N47-Statements!N46</f>
        <v>0</v>
      </c>
      <c r="O32" s="11">
        <f>Statements!O48-Statements!O47-Statements!O46</f>
        <v>0</v>
      </c>
      <c r="P32" s="11">
        <f>Statements!P48-Statements!P47-Statements!P46</f>
        <v>0</v>
      </c>
      <c r="Q32" s="11">
        <f>Statements!Q48-Statements!Q47-Statements!Q46</f>
        <v>0</v>
      </c>
      <c r="R32" s="11">
        <f>Statements!R48-Statements!R47-Statements!R46</f>
        <v>0</v>
      </c>
      <c r="S32" s="11">
        <f>Statements!S48-Statements!S47-Statements!S46</f>
        <v>0</v>
      </c>
      <c r="T32" s="11">
        <f>Statements!T48-Statements!T47-Statements!T46</f>
        <v>0</v>
      </c>
      <c r="U32" s="1"/>
      <c r="V32" s="1"/>
    </row>
    <row r="33" spans="1:22" ht="20" customHeight="1">
      <c r="A33" s="1"/>
      <c r="B33" s="1"/>
      <c r="C33" s="1" t="s">
        <v>482</v>
      </c>
      <c r="D33" s="1"/>
      <c r="E33" s="2"/>
      <c r="F33" s="11">
        <f>Statements!F70-Statements!E70-Statements!F21-Statements!F43</f>
        <v>2.2204460492503131E-16</v>
      </c>
      <c r="G33" s="11">
        <f>Statements!G70-Statements!F70-Statements!G21-Statements!G43</f>
        <v>-1.6653345369377348E-16</v>
      </c>
      <c r="H33" s="11">
        <f>Statements!H70-Statements!G70-Statements!H21-Statements!H43</f>
        <v>3.3306690738754696E-16</v>
      </c>
      <c r="I33" s="11">
        <f>Statements!I70-Statements!H70-Statements!I21-Statements!I43</f>
        <v>-5.5511151231257827E-17</v>
      </c>
      <c r="J33" s="11">
        <f>Statements!J70-Statements!I70-Statements!J21-Statements!J43</f>
        <v>-3.8857805861880479E-16</v>
      </c>
      <c r="K33" s="11">
        <f>Statements!K70-Statements!J70-Statements!K21-Statements!K43</f>
        <v>0</v>
      </c>
      <c r="L33" s="11">
        <f>Statements!L70-Statements!K70-Statements!L21-Statements!L43</f>
        <v>3.3306690738754696E-16</v>
      </c>
      <c r="M33" s="11">
        <f>Statements!M70-Statements!L70-Statements!M21-Statements!M43</f>
        <v>8.8817841970012523E-16</v>
      </c>
      <c r="N33" s="11">
        <f>Statements!N70-Statements!M70-Statements!N21-Statements!N43</f>
        <v>8.8817841970012523E-16</v>
      </c>
      <c r="O33" s="11">
        <f>Statements!O70-Statements!N70-Statements!O21-Statements!O43</f>
        <v>-8.8817841970012523E-16</v>
      </c>
      <c r="P33" s="11">
        <f>Statements!P70-Statements!O70-Statements!P21-Statements!P43</f>
        <v>0</v>
      </c>
      <c r="Q33" s="11">
        <f>Statements!Q70-Statements!P70-Statements!Q21-Statements!Q43</f>
        <v>0</v>
      </c>
      <c r="R33" s="11">
        <f>Statements!R70-Statements!Q70-Statements!R21-Statements!R43</f>
        <v>1.7763568394002505E-15</v>
      </c>
      <c r="S33" s="11">
        <f>Statements!S70-Statements!R70-Statements!S21-Statements!S43</f>
        <v>3.5527136788005009E-15</v>
      </c>
      <c r="T33" s="11">
        <f>Statements!T70-Statements!S70-Statements!T21-Statements!T43</f>
        <v>5.3290705182007514E-15</v>
      </c>
      <c r="U33" s="1"/>
      <c r="V33" s="1"/>
    </row>
    <row r="34" spans="1:22" ht="20" customHeight="1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</row>
    <row r="35" spans="1:22" ht="20" customHeight="1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</row>
    <row r="36" spans="1:22" ht="20" customHeight="1">
      <c r="A36" s="1"/>
      <c r="B36" s="1"/>
      <c r="C36" s="7" t="s">
        <v>483</v>
      </c>
      <c r="D36" s="7"/>
      <c r="E36" s="8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</row>
    <row r="37" spans="1:22" ht="20" customHeight="1">
      <c r="A37" s="1"/>
      <c r="B37" s="1"/>
      <c r="C37" s="1" t="s">
        <v>484</v>
      </c>
      <c r="D37" s="1"/>
      <c r="E37" s="2" t="s">
        <v>485</v>
      </c>
      <c r="F37" s="2" t="s">
        <v>486</v>
      </c>
      <c r="G37" s="2" t="s">
        <v>487</v>
      </c>
      <c r="H37" s="2" t="s">
        <v>488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"/>
      <c r="V37" s="1"/>
    </row>
    <row r="38" spans="1:22" ht="20" customHeight="1">
      <c r="A38" s="1"/>
      <c r="B38" s="1"/>
      <c r="C38" s="1" t="s">
        <v>489</v>
      </c>
      <c r="D38" s="1"/>
      <c r="E38" s="2">
        <f>Operating!E13</f>
        <v>6.06</v>
      </c>
      <c r="F38" s="2">
        <v>6.06</v>
      </c>
      <c r="G38" s="11">
        <f>IF(Assumptions!$E$5=2,E38-F38,"n.a.")</f>
        <v>0</v>
      </c>
      <c r="H38" s="2" t="s">
        <v>490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</row>
    <row r="39" spans="1:22" ht="20" customHeight="1">
      <c r="A39" s="1"/>
      <c r="B39" s="1"/>
      <c r="C39" s="1" t="s">
        <v>491</v>
      </c>
      <c r="D39" s="1"/>
      <c r="E39" s="2">
        <f>Operating!F13</f>
        <v>8.25</v>
      </c>
      <c r="F39" s="2">
        <v>8.25</v>
      </c>
      <c r="G39" s="11">
        <f>IF(Assumptions!$E$5=2,E39-F39,"n.a.")</f>
        <v>0</v>
      </c>
      <c r="H39" s="2" t="s">
        <v>490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</row>
    <row r="40" spans="1:22" ht="20" customHeight="1">
      <c r="A40" s="1"/>
      <c r="B40" s="1"/>
      <c r="C40" s="1" t="s">
        <v>492</v>
      </c>
      <c r="D40" s="1"/>
      <c r="E40" s="2">
        <f>Operating!I13</f>
        <v>25</v>
      </c>
      <c r="F40" s="2">
        <v>25</v>
      </c>
      <c r="G40" s="11">
        <f>IF(Assumptions!$E$5=2,E40-F40,"n.a.")</f>
        <v>0</v>
      </c>
      <c r="H40" s="2" t="s">
        <v>490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</row>
    <row r="41" spans="1:22" ht="20" customHeight="1">
      <c r="A41" s="1"/>
      <c r="B41" s="1"/>
      <c r="C41" s="1" t="s">
        <v>493</v>
      </c>
      <c r="D41" s="1"/>
      <c r="E41" s="2">
        <f>Operating!I26</f>
        <v>9</v>
      </c>
      <c r="F41" s="2">
        <v>9</v>
      </c>
      <c r="G41" s="11">
        <f>IF(Assumptions!$E$5=2,E41-F41,"n.a.")</f>
        <v>0</v>
      </c>
      <c r="H41" s="2" t="s">
        <v>490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</row>
    <row r="42" spans="1:22" ht="20" customHeight="1">
      <c r="A42" s="1"/>
      <c r="B42" s="1"/>
      <c r="C42" s="1" t="s">
        <v>494</v>
      </c>
      <c r="D42" s="1"/>
      <c r="E42" s="2">
        <f>Comps!E23</f>
        <v>125</v>
      </c>
      <c r="F42" s="2">
        <v>125</v>
      </c>
      <c r="G42" s="11">
        <f>IF(Assumptions!$E$5=2,E42-F42,"n.a.")</f>
        <v>0</v>
      </c>
      <c r="H42" s="2" t="s">
        <v>490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</row>
    <row r="43" spans="1:22" ht="20" customHeight="1">
      <c r="A43" s="1"/>
      <c r="B43" s="1"/>
      <c r="C43" s="1" t="s">
        <v>495</v>
      </c>
      <c r="D43" s="1"/>
      <c r="E43" s="2">
        <f>DCF!E53</f>
        <v>89.634135366966802</v>
      </c>
      <c r="F43" s="2">
        <v>89.634135366966802</v>
      </c>
      <c r="G43" s="11">
        <f>IF(Assumptions!$E$5=2,E43-F43,"n.a.")</f>
        <v>0</v>
      </c>
      <c r="H43" s="2" t="s">
        <v>490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</row>
    <row r="44" spans="1:22" ht="20" customHeight="1">
      <c r="A44" s="1"/>
      <c r="B44" s="1"/>
      <c r="C44" s="1" t="s">
        <v>496</v>
      </c>
      <c r="D44" s="1"/>
      <c r="E44" s="2">
        <f>'Short return'!E16</f>
        <v>0.39127304653204564</v>
      </c>
      <c r="F44" s="2">
        <v>0.3912730465320457</v>
      </c>
      <c r="G44" s="11">
        <f>IF(Assumptions!$E$5=2,E44-F44,"n.a.")</f>
        <v>-5.5511151231257827E-17</v>
      </c>
      <c r="H44" s="2" t="s">
        <v>490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</row>
    <row r="45" spans="1:22" ht="20" customHeight="1">
      <c r="A45" s="1"/>
      <c r="B45" s="1"/>
      <c r="C45" s="1" t="s">
        <v>6</v>
      </c>
      <c r="D45" s="1"/>
      <c r="E45" s="2">
        <f>'Short return'!E20</f>
        <v>0.75259844064712533</v>
      </c>
      <c r="F45" s="2">
        <v>0.75259845242250711</v>
      </c>
      <c r="G45" s="11">
        <f>IF(Assumptions!$E$5=2,E45-F45,"n.a.")</f>
        <v>-1.1775381780765315E-8</v>
      </c>
      <c r="H45" s="2" t="s">
        <v>490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</row>
    <row r="46" spans="1:22" ht="20" customHeight="1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</row>
    <row r="47" spans="1:22" ht="20" customHeight="1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</row>
    <row r="48" spans="1:22" ht="21" customHeight="1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</row>
    <row r="49" spans="1:22" ht="20" customHeight="1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</row>
    <row r="50" spans="1:22" ht="20" customHeight="1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</row>
    <row r="51" spans="1:22" ht="20" customHeight="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</row>
    <row r="52" spans="1:22" ht="20" customHeight="1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</row>
    <row r="53" spans="1:22" ht="20" customHeight="1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</row>
    <row r="54" spans="1:22" ht="20" customHeight="1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</row>
    <row r="55" spans="1:22" ht="20" customHeight="1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</row>
    <row r="56" spans="1:22" ht="20" customHeight="1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</row>
    <row r="57" spans="1:22" ht="20" customHeight="1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</row>
    <row r="58" spans="1:22" ht="20" customHeight="1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</row>
    <row r="59" spans="1:22" ht="20" customHeight="1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</row>
    <row r="60" spans="1:22" ht="20" customHeight="1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</row>
    <row r="61" spans="1:22" ht="20" customHeight="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</row>
    <row r="62" spans="1:22" ht="20" customHeight="1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</row>
    <row r="63" spans="1:22" ht="20" customHeight="1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</row>
    <row r="64" spans="1:22" ht="20" customHeight="1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</row>
    <row r="65" spans="1:22" ht="20" customHeight="1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</row>
    <row r="66" spans="1:22" ht="20" customHeight="1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</row>
    <row r="67" spans="1:22" ht="20" customHeight="1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</row>
    <row r="68" spans="1:22" ht="20" customHeight="1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</row>
    <row r="69" spans="1:22" ht="20" customHeight="1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</row>
    <row r="70" spans="1:22" ht="20" customHeight="1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</row>
    <row r="71" spans="1:22" ht="20" customHeight="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</row>
    <row r="72" spans="1:22" ht="20" customHeight="1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</row>
    <row r="73" spans="1:22" ht="20" customHeight="1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</row>
    <row r="74" spans="1:22" ht="20" customHeight="1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</row>
    <row r="75" spans="1:22" ht="20" customHeight="1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</row>
    <row r="76" spans="1:22" ht="20" customHeight="1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</row>
    <row r="77" spans="1:22" ht="20" customHeight="1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</row>
    <row r="78" spans="1:22" ht="20" customHeight="1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</row>
    <row r="79" spans="1:22" ht="20" customHeight="1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</row>
    <row r="80" spans="1:22" ht="20" customHeight="1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</row>
    <row r="81" spans="1:22" ht="20" customHeight="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</row>
    <row r="82" spans="1:22" ht="20" customHeight="1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</row>
    <row r="83" spans="1:22" ht="20" customHeight="1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</row>
    <row r="84" spans="1:22" ht="20" customHeight="1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</row>
    <row r="85" spans="1:22" ht="20" customHeight="1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</row>
    <row r="86" spans="1:22" ht="20" customHeight="1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</row>
    <row r="87" spans="1:22" ht="20" customHeight="1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</row>
    <row r="88" spans="1:22" ht="20" customHeight="1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</row>
    <row r="89" spans="1:22" ht="20" customHeight="1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</row>
    <row r="90" spans="1:22" ht="20" customHeight="1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</row>
    <row r="91" spans="1:22" ht="20" customHeight="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</row>
    <row r="92" spans="1:22" ht="20" customHeight="1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</row>
    <row r="93" spans="1:22" ht="20" customHeight="1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</row>
    <row r="94" spans="1:22" ht="20" customHeight="1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</row>
    <row r="95" spans="1:22" ht="20" customHeight="1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</row>
    <row r="96" spans="1:22" ht="20" customHeight="1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</row>
    <row r="97" spans="1:22" ht="20" customHeight="1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</row>
    <row r="98" spans="1:22" ht="20" customHeight="1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</row>
    <row r="99" spans="1:22" ht="20" customHeight="1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</row>
    <row r="100" spans="1:22" ht="20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</row>
    <row r="101" spans="1:22" ht="20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</row>
    <row r="102" spans="1:22" ht="20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</row>
    <row r="103" spans="1:22" ht="20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</row>
    <row r="104" spans="1:22" ht="20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</row>
    <row r="105" spans="1:22" ht="20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</row>
    <row r="106" spans="1:22" ht="20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</row>
    <row r="107" spans="1:22" ht="20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</row>
    <row r="108" spans="1:22" ht="20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</row>
    <row r="109" spans="1:22" ht="20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</row>
    <row r="110" spans="1:22" ht="20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</row>
    <row r="111" spans="1:22" ht="20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</row>
    <row r="112" spans="1:22" ht="20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</row>
    <row r="113" spans="1:22" ht="20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</row>
    <row r="114" spans="1:22" ht="20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</row>
    <row r="115" spans="1:22" ht="20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</row>
    <row r="116" spans="1:22" ht="20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</row>
    <row r="117" spans="1:22" ht="20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</row>
    <row r="118" spans="1:22" ht="20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</row>
    <row r="119" spans="1:22" ht="20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</row>
    <row r="120" spans="1:22" ht="20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</row>
    <row r="121" spans="1:22" ht="20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</row>
    <row r="122" spans="1:22" ht="20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</row>
    <row r="123" spans="1:22" ht="20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</row>
    <row r="124" spans="1:22" ht="20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</row>
    <row r="125" spans="1:22" ht="20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</row>
    <row r="126" spans="1:22" ht="20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</row>
    <row r="127" spans="1:22" ht="20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</row>
    <row r="128" spans="1:22" ht="20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</row>
    <row r="129" spans="1:22" ht="20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</row>
    <row r="130" spans="1:22" ht="20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</row>
    <row r="131" spans="1:22" ht="20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</row>
    <row r="132" spans="1:22" ht="20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</row>
    <row r="133" spans="1:22" ht="20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</row>
    <row r="134" spans="1:22" ht="20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</row>
    <row r="135" spans="1:22" ht="20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</row>
    <row r="136" spans="1:22" ht="20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</row>
    <row r="137" spans="1:22" ht="20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</row>
    <row r="138" spans="1:22" ht="20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</row>
    <row r="139" spans="1:22" ht="20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</row>
    <row r="140" spans="1:22" ht="20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</row>
    <row r="141" spans="1:22" ht="20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</row>
    <row r="142" spans="1:22" ht="20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</row>
    <row r="143" spans="1:22" ht="20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</row>
    <row r="144" spans="1:22" ht="20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</row>
    <row r="145" spans="1:22" ht="20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</row>
    <row r="146" spans="1:22" ht="20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</row>
    <row r="147" spans="1:22" ht="20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</row>
    <row r="148" spans="1:22" ht="20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</row>
    <row r="149" spans="1:22" ht="20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</row>
    <row r="150" spans="1:22" ht="20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</row>
    <row r="151" spans="1:22" ht="20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</row>
    <row r="152" spans="1:22" ht="20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</row>
    <row r="153" spans="1:22" ht="20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</row>
    <row r="154" spans="1:22" ht="20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</row>
    <row r="155" spans="1:22" ht="20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</row>
    <row r="156" spans="1:22" ht="20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</row>
    <row r="157" spans="1:22" ht="20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</row>
    <row r="158" spans="1:22" ht="20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</row>
    <row r="159" spans="1:22" ht="20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</row>
    <row r="160" spans="1:22" ht="20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</row>
    <row r="161" spans="1:22" ht="20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</row>
    <row r="162" spans="1:22" ht="20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</row>
    <row r="163" spans="1:22" ht="20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</row>
    <row r="164" spans="1:22" ht="20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</row>
    <row r="165" spans="1:22" ht="20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</row>
    <row r="166" spans="1:22" ht="20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</row>
    <row r="167" spans="1:22" ht="20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</row>
    <row r="168" spans="1:22" ht="20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</row>
    <row r="169" spans="1:22" ht="20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</row>
    <row r="170" spans="1:22" ht="20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</row>
    <row r="171" spans="1:22" ht="20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</row>
    <row r="172" spans="1:22" ht="20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</row>
    <row r="173" spans="1:22" ht="20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</row>
    <row r="174" spans="1:22" ht="20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</row>
    <row r="175" spans="1:22" ht="20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</row>
    <row r="176" spans="1:22" ht="20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</row>
    <row r="177" spans="1:22" ht="20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</row>
    <row r="178" spans="1:22" ht="20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</row>
    <row r="179" spans="1:22" ht="20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</row>
    <row r="180" spans="1:22" ht="20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</row>
    <row r="181" spans="1:22" ht="20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</row>
    <row r="182" spans="1:22" ht="20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</row>
  </sheetData>
  <conditionalFormatting sqref="E9:E24">
    <cfRule type="cellIs" dxfId="2" priority="1" operator="notBetween">
      <formula>-0.000001</formula>
      <formula>0.000001</formula>
    </cfRule>
  </conditionalFormatting>
  <conditionalFormatting sqref="F29:T33">
    <cfRule type="cellIs" dxfId="1" priority="2" operator="notBetween">
      <formula>-0.000001</formula>
      <formula>0.000001</formula>
    </cfRule>
  </conditionalFormatting>
  <conditionalFormatting sqref="G38:G45">
    <cfRule type="cellIs" dxfId="0" priority="3" operator="notBetween">
      <formula>-0.000001</formula>
      <formula>0.000001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Assumptions</vt:lpstr>
      <vt:lpstr>Operating</vt:lpstr>
      <vt:lpstr>Statements</vt:lpstr>
      <vt:lpstr>DCF</vt:lpstr>
      <vt:lpstr>Comps</vt:lpstr>
      <vt:lpstr>Short return</vt:lpstr>
      <vt:lpstr>Historical</vt:lpstr>
      <vt:lpstr>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#MITTAL ARJUN#</cp:lastModifiedBy>
  <dcterms:created xsi:type="dcterms:W3CDTF">2026-10-18T15:43:15Z</dcterms:created>
  <dcterms:modified xsi:type="dcterms:W3CDTF">2026-10-18T15:43:15Z</dcterms:modified>
</cp:coreProperties>
</file>